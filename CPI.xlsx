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nit\Desktop\IITK_acads\"/>
    </mc:Choice>
  </mc:AlternateContent>
  <xr:revisionPtr revIDLastSave="0" documentId="13_ncr:1_{62D1D31A-8926-4C4D-919E-0C699E64504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pi_calculator" sheetId="9" r:id="rId1"/>
  </sheets>
  <definedNames>
    <definedName name="_xlnm.Print_Area" localSheetId="0">cpi_calculator!$A$1:$I$98</definedName>
    <definedName name="_xlnm.Print_Titles" localSheetId="0">cpi_calculator!$13:$14</definedName>
    <definedName name="valuevx">42.314159</definedName>
    <definedName name="vertex42_copyright" hidden="1">"© 2010-2014 Vertex42 LLC"</definedName>
    <definedName name="vertex42_id" hidden="1">"gpa-calculator.xlsx"</definedName>
    <definedName name="vertex42_title" hidden="1">"GPA Calculator"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9" l="1"/>
  <c r="E90" i="9"/>
  <c r="E89" i="9"/>
  <c r="E88" i="9"/>
  <c r="E87" i="9"/>
  <c r="E86" i="9"/>
  <c r="E85" i="9"/>
  <c r="E84" i="9"/>
  <c r="E80" i="9"/>
  <c r="E79" i="9"/>
  <c r="E78" i="9"/>
  <c r="E77" i="9"/>
  <c r="E76" i="9"/>
  <c r="E75" i="9"/>
  <c r="E74" i="9"/>
  <c r="E70" i="9"/>
  <c r="E69" i="9"/>
  <c r="E68" i="9"/>
  <c r="E67" i="9"/>
  <c r="E66" i="9"/>
  <c r="E65" i="9"/>
  <c r="E64" i="9"/>
  <c r="E60" i="9"/>
  <c r="E59" i="9"/>
  <c r="E58" i="9"/>
  <c r="E57" i="9"/>
  <c r="E56" i="9"/>
  <c r="E52" i="9"/>
  <c r="E51" i="9"/>
  <c r="E50" i="9"/>
  <c r="E49" i="9"/>
  <c r="E48" i="9"/>
  <c r="E47" i="9"/>
  <c r="E43" i="9"/>
  <c r="E42" i="9"/>
  <c r="E41" i="9"/>
  <c r="E40" i="9"/>
  <c r="E39" i="9"/>
  <c r="E38" i="9"/>
  <c r="E34" i="9"/>
  <c r="E32" i="9"/>
  <c r="E31" i="9"/>
  <c r="E30" i="9"/>
  <c r="E29" i="9"/>
  <c r="E28" i="9"/>
  <c r="E27" i="9"/>
  <c r="E17" i="9"/>
  <c r="C92" i="9" l="1"/>
  <c r="C82" i="9"/>
  <c r="C72" i="9"/>
  <c r="C62" i="9"/>
  <c r="C54" i="9"/>
  <c r="C45" i="9"/>
  <c r="C36" i="9"/>
  <c r="E18" i="9"/>
  <c r="E19" i="9"/>
  <c r="E20" i="9"/>
  <c r="E21" i="9"/>
  <c r="E22" i="9"/>
  <c r="E23" i="9"/>
  <c r="C91" i="9"/>
  <c r="C81" i="9"/>
  <c r="C71" i="9"/>
  <c r="C61" i="9"/>
  <c r="C10" i="9"/>
  <c r="C53" i="9"/>
  <c r="C44" i="9"/>
  <c r="C35" i="9"/>
  <c r="C24" i="9"/>
  <c r="C25" i="9" l="1"/>
  <c r="C11" i="9"/>
  <c r="C9" i="9" s="1"/>
</calcChain>
</file>

<file path=xl/sharedStrings.xml><?xml version="1.0" encoding="utf-8"?>
<sst xmlns="http://schemas.openxmlformats.org/spreadsheetml/2006/main" count="111" uniqueCount="63">
  <si>
    <t>A</t>
  </si>
  <si>
    <t>B+</t>
  </si>
  <si>
    <t>B</t>
  </si>
  <si>
    <t>Grade</t>
  </si>
  <si>
    <t>C+</t>
  </si>
  <si>
    <t>C</t>
  </si>
  <si>
    <t>D+</t>
  </si>
  <si>
    <t>D</t>
  </si>
  <si>
    <t>Points</t>
  </si>
  <si>
    <t>Course</t>
  </si>
  <si>
    <t>Credits</t>
  </si>
  <si>
    <t>GPA Table</t>
  </si>
  <si>
    <t>Semester 1</t>
  </si>
  <si>
    <t>Semester 2</t>
  </si>
  <si>
    <t>Semester GPA:</t>
  </si>
  <si>
    <t>Semester 3</t>
  </si>
  <si>
    <t>Semester 4</t>
  </si>
  <si>
    <t>Semester 5</t>
  </si>
  <si>
    <t>Semester 6</t>
  </si>
  <si>
    <t>Semester 7</t>
  </si>
  <si>
    <t>Semester 8</t>
  </si>
  <si>
    <t>[42]</t>
  </si>
  <si>
    <t xml:space="preserve">Total Points </t>
  </si>
  <si>
    <t>Hours:</t>
  </si>
  <si>
    <t>Courses Taken</t>
  </si>
  <si>
    <t>RONIT KUMAR</t>
  </si>
  <si>
    <t>A*</t>
  </si>
  <si>
    <t>MTH111</t>
  </si>
  <si>
    <t>MTH112</t>
  </si>
  <si>
    <t>PHY115</t>
  </si>
  <si>
    <t>LIF111</t>
  </si>
  <si>
    <t>ESC111</t>
  </si>
  <si>
    <t>ESC112</t>
  </si>
  <si>
    <t>CHM111</t>
  </si>
  <si>
    <t>SPI:</t>
  </si>
  <si>
    <t>ELC112</t>
  </si>
  <si>
    <t>TA111</t>
  </si>
  <si>
    <t>CHM112</t>
  </si>
  <si>
    <t>CHM113</t>
  </si>
  <si>
    <t>MTH113</t>
  </si>
  <si>
    <t>MTH114</t>
  </si>
  <si>
    <t>PHY112</t>
  </si>
  <si>
    <t>PHY113</t>
  </si>
  <si>
    <t>PHY111</t>
  </si>
  <si>
    <t>EE200</t>
  </si>
  <si>
    <t>ESC201</t>
  </si>
  <si>
    <t>MSO202</t>
  </si>
  <si>
    <t>MSO203</t>
  </si>
  <si>
    <t>PSY151</t>
  </si>
  <si>
    <t>TA212</t>
  </si>
  <si>
    <t>EE210</t>
  </si>
  <si>
    <t>EE250</t>
  </si>
  <si>
    <t>ESO203</t>
  </si>
  <si>
    <t>MSO201</t>
  </si>
  <si>
    <t>ECO111</t>
  </si>
  <si>
    <t>TA211</t>
  </si>
  <si>
    <t>ART404</t>
  </si>
  <si>
    <t>EE320</t>
  </si>
  <si>
    <t>EE370</t>
  </si>
  <si>
    <t>EE380</t>
  </si>
  <si>
    <t>CPI</t>
  </si>
  <si>
    <t xml:space="preserve">Total Credit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</si>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</sst>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0"/>
  </numFmts>
  <fonts count="21" x14ac:knownFonts="1">
    <font>
      <sz val="10"/>
      <name val="Arial"/>
      <family val="2"/>
    </font>
    <font>
      <sz val="10"/>
      <name val="Arial"/>
      <family val="2"/>
    </font>
    <font>
      <b/>
      <sz val="18"/>
      <color indexed="6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63"/>
      <name val="Arial"/>
      <family val="2"/>
    </font>
    <font>
      <i/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2"/>
      <color indexed="63"/>
      <name val="Arial"/>
      <family val="2"/>
    </font>
    <font>
      <sz val="12"/>
      <name val="Arial"/>
      <family val="2"/>
    </font>
    <font>
      <sz val="8"/>
      <color indexed="9"/>
      <name val="Arial"/>
      <family val="2"/>
    </font>
    <font>
      <u/>
      <sz val="8"/>
      <color indexed="12"/>
      <name val="Arial"/>
      <family val="2"/>
    </font>
    <font>
      <i/>
      <sz val="10"/>
      <color indexed="23"/>
      <name val="Arial"/>
      <family val="2"/>
    </font>
    <font>
      <sz val="10"/>
      <color indexed="23"/>
      <name val="Arial"/>
      <family val="2"/>
    </font>
    <font>
      <sz val="8"/>
      <color indexed="23"/>
      <name val="Arial"/>
      <family val="2"/>
    </font>
    <font>
      <sz val="12"/>
      <color indexed="63"/>
      <name val="Arial"/>
      <family val="2"/>
    </font>
    <font>
      <sz val="8"/>
      <color indexed="55"/>
      <name val="Tahoma"/>
      <family val="2"/>
    </font>
    <font>
      <u/>
      <sz val="8"/>
      <color indexed="12"/>
      <name val="Trebuchet MS"/>
      <family val="2"/>
    </font>
    <font>
      <b/>
      <sz val="18"/>
      <color theme="4" tint="-0.249977111117893"/>
      <name val="Arial"/>
      <family val="2"/>
    </font>
    <font>
      <u/>
      <sz val="10"/>
      <color indexed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n">
        <color indexed="55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/>
    <xf numFmtId="0" fontId="0" fillId="0" borderId="1" xfId="0" applyBorder="1" applyAlignment="1">
      <alignment horizontal="center"/>
    </xf>
    <xf numFmtId="0" fontId="4" fillId="0" borderId="0" xfId="0" applyFont="1"/>
    <xf numFmtId="0" fontId="7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8" fillId="0" borderId="2" xfId="0" applyFont="1" applyBorder="1"/>
    <xf numFmtId="0" fontId="10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0" fontId="3" fillId="0" borderId="1" xfId="3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left"/>
    </xf>
    <xf numFmtId="0" fontId="0" fillId="2" borderId="0" xfId="0" applyFill="1"/>
    <xf numFmtId="0" fontId="8" fillId="0" borderId="0" xfId="0" applyFont="1"/>
    <xf numFmtId="14" fontId="15" fillId="0" borderId="0" xfId="0" applyNumberFormat="1" applyFont="1" applyAlignment="1">
      <alignment horizontal="right"/>
    </xf>
    <xf numFmtId="0" fontId="2" fillId="3" borderId="0" xfId="0" applyFont="1" applyFill="1" applyAlignment="1">
      <alignment vertical="top"/>
    </xf>
    <xf numFmtId="0" fontId="0" fillId="3" borderId="0" xfId="0" applyFill="1"/>
    <xf numFmtId="0" fontId="12" fillId="3" borderId="0" xfId="2" applyFont="1" applyFill="1" applyAlignment="1" applyProtection="1"/>
    <xf numFmtId="0" fontId="20" fillId="3" borderId="0" xfId="2" applyFill="1" applyAlignment="1" applyProtection="1">
      <alignment horizontal="center"/>
    </xf>
    <xf numFmtId="0" fontId="17" fillId="3" borderId="0" xfId="1" applyNumberFormat="1" applyFont="1" applyFill="1" applyAlignment="1">
      <alignment horizontal="right"/>
    </xf>
    <xf numFmtId="0" fontId="9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6" borderId="0" xfId="0" applyFill="1"/>
    <xf numFmtId="0" fontId="3" fillId="6" borderId="0" xfId="0" applyFont="1" applyFill="1" applyAlignment="1">
      <alignment horizontal="center"/>
    </xf>
    <xf numFmtId="0" fontId="16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right"/>
    </xf>
    <xf numFmtId="0" fontId="0" fillId="6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15" fillId="0" borderId="0" xfId="0" applyFont="1"/>
    <xf numFmtId="0" fontId="7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8" fillId="3" borderId="0" xfId="2" applyFont="1" applyFill="1" applyAlignment="1" applyProtection="1">
      <alignment horizontal="left"/>
    </xf>
    <xf numFmtId="0" fontId="19" fillId="3" borderId="0" xfId="0" applyFont="1" applyFill="1" applyAlignment="1">
      <alignment horizontal="left" vertical="top"/>
    </xf>
  </cellXfs>
  <cellStyles count="4">
    <cellStyle name="Comma" xfId="1" builtinId="3"/>
    <cellStyle name="Hyperlink" xfId="2" builtinId="8" customBuiltin="1"/>
    <cellStyle name="Normal" xfId="0" builtinId="0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FF7C80"/>
      <color rgb="FF6699FF"/>
      <color rgb="FFCC9900"/>
      <color rgb="FFFFD815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26AA2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8"/>
  <sheetViews>
    <sheetView showGridLines="0" tabSelected="1" topLeftCell="A43" zoomScale="119" zoomScaleNormal="119" workbookViewId="0">
      <selection activeCell="C43" sqref="C43"/>
    </sheetView>
  </sheetViews>
  <sheetFormatPr defaultRowHeight="13.2" x14ac:dyDescent="0.25"/>
  <cols>
    <col min="1" max="1" width="3" customWidth="1"/>
    <col min="2" max="2" width="24.6640625" customWidth="1"/>
    <col min="3" max="3" width="10.6640625" customWidth="1"/>
    <col min="5" max="5" width="9.44140625" customWidth="1"/>
    <col min="6" max="6" width="2.6640625" customWidth="1"/>
    <col min="9" max="9" width="9.44140625" customWidth="1"/>
    <col min="10" max="10" width="5" customWidth="1"/>
  </cols>
  <sheetData>
    <row r="1" spans="1:12" ht="22.8" x14ac:dyDescent="0.25">
      <c r="A1" s="45" t="s">
        <v>25</v>
      </c>
      <c r="B1" s="45"/>
      <c r="C1" s="45"/>
      <c r="D1" s="22"/>
      <c r="E1" s="22"/>
      <c r="F1" s="22"/>
      <c r="G1" s="22"/>
      <c r="H1" s="22"/>
      <c r="I1" s="22"/>
      <c r="J1" s="23"/>
      <c r="K1" s="23"/>
      <c r="L1" s="23"/>
    </row>
    <row r="2" spans="1:12" ht="13.8" x14ac:dyDescent="0.3">
      <c r="A2" s="44"/>
      <c r="B2" s="44"/>
      <c r="C2" s="44"/>
      <c r="D2" s="44"/>
      <c r="E2" s="44"/>
      <c r="F2" s="24"/>
      <c r="G2" s="23"/>
      <c r="H2" s="23"/>
      <c r="I2" s="25"/>
      <c r="J2" s="23"/>
      <c r="K2" s="23"/>
      <c r="L2" s="26"/>
    </row>
    <row r="4" spans="1:12" x14ac:dyDescent="0.25">
      <c r="B4" s="2"/>
    </row>
    <row r="5" spans="1:12" x14ac:dyDescent="0.25">
      <c r="B5" s="4"/>
    </row>
    <row r="6" spans="1:12" x14ac:dyDescent="0.25">
      <c r="B6" s="4"/>
    </row>
    <row r="7" spans="1:12" x14ac:dyDescent="0.25">
      <c r="B7" s="15"/>
    </row>
    <row r="9" spans="1:12" ht="15.6" x14ac:dyDescent="0.3">
      <c r="B9" s="5" t="s">
        <v>60</v>
      </c>
      <c r="C9" s="29">
        <f>IF(C10=0," - ",C11/C10)</f>
        <v>9.2851711026615966</v>
      </c>
    </row>
    <row r="10" spans="1:12" ht="15" x14ac:dyDescent="0.25">
      <c r="B10" s="10" t="s">
        <v>61</v>
      </c>
      <c r="C10" s="14">
        <f>SUM(D:D)-SUM(H:H)</f>
        <v>263</v>
      </c>
    </row>
    <row r="11" spans="1:12" ht="15" x14ac:dyDescent="0.25">
      <c r="B11" s="10" t="s">
        <v>22</v>
      </c>
      <c r="C11" s="14">
        <f>SUM(E:E)-SUM(I:I)</f>
        <v>2442</v>
      </c>
    </row>
    <row r="13" spans="1:12" ht="15.6" x14ac:dyDescent="0.3">
      <c r="A13" s="2" t="s">
        <v>24</v>
      </c>
      <c r="G13" s="2"/>
      <c r="K13" s="42" t="s">
        <v>11</v>
      </c>
      <c r="L13" s="42"/>
    </row>
    <row r="14" spans="1:12" ht="15.6" x14ac:dyDescent="0.25">
      <c r="A14" s="19"/>
      <c r="B14" s="27" t="s">
        <v>9</v>
      </c>
      <c r="C14" s="27" t="s">
        <v>3</v>
      </c>
      <c r="D14" s="27" t="s">
        <v>10</v>
      </c>
      <c r="E14" s="27" t="s">
        <v>8</v>
      </c>
      <c r="G14" s="37"/>
      <c r="H14" s="37"/>
      <c r="I14" s="37"/>
      <c r="K14" s="28" t="s">
        <v>3</v>
      </c>
      <c r="L14" s="28" t="s">
        <v>8</v>
      </c>
    </row>
    <row r="15" spans="1:12" x14ac:dyDescent="0.25">
      <c r="G15" s="35"/>
      <c r="H15" s="35"/>
      <c r="I15" s="35"/>
      <c r="K15" s="3" t="s">
        <v>26</v>
      </c>
      <c r="L15" s="12">
        <v>10</v>
      </c>
    </row>
    <row r="16" spans="1:12" x14ac:dyDescent="0.25">
      <c r="A16" s="20" t="s">
        <v>12</v>
      </c>
      <c r="C16" s="6"/>
      <c r="D16" s="6"/>
      <c r="G16" s="36"/>
      <c r="H16" s="36"/>
      <c r="I16" s="35"/>
      <c r="K16" s="3" t="s">
        <v>0</v>
      </c>
      <c r="L16" s="12">
        <v>10</v>
      </c>
    </row>
    <row r="17" spans="1:12" x14ac:dyDescent="0.25">
      <c r="B17" s="33" t="s">
        <v>27</v>
      </c>
      <c r="C17" s="34" t="s">
        <v>1</v>
      </c>
      <c r="D17" s="32">
        <v>6</v>
      </c>
      <c r="E17" s="30">
        <f t="shared" ref="E17:E23" si="0">IF(OR(ISBLANK(D17),ISBLANK(C17)),0,IF(ISERROR(MATCH(C17,$K$15:$K$22,0)),0,D17*INDEX($L$15:$L$22,MATCH(C17,$K$15:$K$22,0))))</f>
        <v>54</v>
      </c>
      <c r="G17" s="36"/>
      <c r="H17" s="36"/>
      <c r="I17" s="36"/>
      <c r="K17" s="3" t="s">
        <v>1</v>
      </c>
      <c r="L17" s="12">
        <v>9</v>
      </c>
    </row>
    <row r="18" spans="1:12" x14ac:dyDescent="0.25">
      <c r="B18" s="33" t="s">
        <v>28</v>
      </c>
      <c r="C18" s="34" t="s">
        <v>1</v>
      </c>
      <c r="D18" s="32">
        <v>6</v>
      </c>
      <c r="E18" s="30">
        <f t="shared" si="0"/>
        <v>54</v>
      </c>
      <c r="G18" s="36"/>
      <c r="H18" s="36"/>
      <c r="I18" s="36"/>
      <c r="K18" s="3" t="s">
        <v>2</v>
      </c>
      <c r="L18" s="12">
        <v>8</v>
      </c>
    </row>
    <row r="19" spans="1:12" x14ac:dyDescent="0.25">
      <c r="B19" s="33" t="s">
        <v>29</v>
      </c>
      <c r="C19" s="34" t="s">
        <v>1</v>
      </c>
      <c r="D19" s="32">
        <v>11</v>
      </c>
      <c r="E19" s="30">
        <f t="shared" si="0"/>
        <v>99</v>
      </c>
      <c r="G19" s="36"/>
      <c r="H19" s="36"/>
      <c r="I19" s="36"/>
      <c r="K19" s="3" t="s">
        <v>4</v>
      </c>
      <c r="L19" s="12">
        <v>7</v>
      </c>
    </row>
    <row r="20" spans="1:12" x14ac:dyDescent="0.25">
      <c r="B20" s="33" t="s">
        <v>30</v>
      </c>
      <c r="C20" s="34" t="s">
        <v>1</v>
      </c>
      <c r="D20" s="32">
        <v>6</v>
      </c>
      <c r="E20" s="30">
        <f t="shared" si="0"/>
        <v>54</v>
      </c>
      <c r="G20" s="36"/>
      <c r="H20" s="36"/>
      <c r="I20" s="36"/>
      <c r="K20" s="3" t="s">
        <v>5</v>
      </c>
      <c r="L20" s="12">
        <v>6</v>
      </c>
    </row>
    <row r="21" spans="1:12" x14ac:dyDescent="0.25">
      <c r="B21" s="33" t="s">
        <v>31</v>
      </c>
      <c r="C21" s="34" t="s">
        <v>0</v>
      </c>
      <c r="D21" s="32">
        <v>7</v>
      </c>
      <c r="E21" s="30">
        <f t="shared" si="0"/>
        <v>70</v>
      </c>
      <c r="G21" s="36"/>
      <c r="H21" s="36"/>
      <c r="I21" s="36"/>
      <c r="K21" s="3" t="s">
        <v>6</v>
      </c>
      <c r="L21" s="12">
        <v>5</v>
      </c>
    </row>
    <row r="22" spans="1:12" x14ac:dyDescent="0.25">
      <c r="B22" s="33" t="s">
        <v>32</v>
      </c>
      <c r="C22" s="34" t="s">
        <v>1</v>
      </c>
      <c r="D22" s="32">
        <v>7</v>
      </c>
      <c r="E22" s="30">
        <f t="shared" si="0"/>
        <v>63</v>
      </c>
      <c r="G22" s="36"/>
      <c r="H22" s="36"/>
      <c r="I22" s="36"/>
      <c r="K22" s="3" t="s">
        <v>7</v>
      </c>
      <c r="L22" s="12">
        <v>4</v>
      </c>
    </row>
    <row r="23" spans="1:12" x14ac:dyDescent="0.25">
      <c r="B23" s="33" t="s">
        <v>33</v>
      </c>
      <c r="C23" s="34" t="s">
        <v>0</v>
      </c>
      <c r="D23" s="32">
        <v>3</v>
      </c>
      <c r="E23" s="30">
        <f t="shared" si="0"/>
        <v>30</v>
      </c>
      <c r="G23" s="36"/>
      <c r="H23" s="36"/>
      <c r="I23" s="36"/>
    </row>
    <row r="24" spans="1:12" x14ac:dyDescent="0.25">
      <c r="B24" s="8" t="s">
        <v>23</v>
      </c>
      <c r="C24" s="1">
        <f>SUM(D17:D23)</f>
        <v>46</v>
      </c>
      <c r="E24" s="1"/>
      <c r="G24" s="38"/>
      <c r="H24" s="39"/>
      <c r="I24" s="35"/>
    </row>
    <row r="25" spans="1:12" x14ac:dyDescent="0.25">
      <c r="B25" s="8" t="s">
        <v>34</v>
      </c>
      <c r="C25" s="11">
        <f>IF(SUM(D17:D23)=0," - ",SUM(E17:E23)/SUM(D17:D23))</f>
        <v>9.2173913043478262</v>
      </c>
      <c r="E25" s="1"/>
      <c r="G25" s="38"/>
      <c r="H25" s="39"/>
      <c r="I25" s="35"/>
    </row>
    <row r="26" spans="1:12" x14ac:dyDescent="0.25">
      <c r="A26" s="20" t="s">
        <v>13</v>
      </c>
      <c r="B26" s="9"/>
      <c r="C26" s="7"/>
      <c r="D26" s="40" t="s">
        <v>62</v>
      </c>
      <c r="E26" s="6"/>
      <c r="G26" s="36"/>
      <c r="H26" s="36"/>
      <c r="I26" s="36"/>
    </row>
    <row r="27" spans="1:12" x14ac:dyDescent="0.25">
      <c r="B27" s="33" t="s">
        <v>35</v>
      </c>
      <c r="C27" s="34" t="s">
        <v>0</v>
      </c>
      <c r="D27" s="32">
        <v>9</v>
      </c>
      <c r="E27" s="30">
        <f t="shared" ref="E27:E34" si="1">IF(OR(ISBLANK(D27),ISBLANK(C27)),0,IF(ISERROR(MATCH(C27,$K$15:$K$22,0)),0,D27*INDEX($L$15:$L$22,MATCH(C27,$K$15:$K$22,0))))</f>
        <v>90</v>
      </c>
      <c r="G27" s="36"/>
      <c r="H27" s="36"/>
      <c r="I27" s="36"/>
    </row>
    <row r="28" spans="1:12" x14ac:dyDescent="0.25">
      <c r="B28" s="33" t="s">
        <v>36</v>
      </c>
      <c r="C28" s="34" t="s">
        <v>0</v>
      </c>
      <c r="D28" s="32">
        <v>9</v>
      </c>
      <c r="E28" s="30">
        <f t="shared" si="1"/>
        <v>90</v>
      </c>
      <c r="G28" s="36"/>
      <c r="H28" s="36"/>
      <c r="I28" s="36"/>
    </row>
    <row r="29" spans="1:12" x14ac:dyDescent="0.25">
      <c r="B29" s="33" t="s">
        <v>37</v>
      </c>
      <c r="C29" s="34" t="s">
        <v>1</v>
      </c>
      <c r="D29" s="32">
        <v>4</v>
      </c>
      <c r="E29" s="30">
        <f t="shared" si="1"/>
        <v>36</v>
      </c>
      <c r="G29" s="36"/>
      <c r="H29" s="36"/>
      <c r="I29" s="36"/>
    </row>
    <row r="30" spans="1:12" x14ac:dyDescent="0.25">
      <c r="B30" s="33" t="s">
        <v>38</v>
      </c>
      <c r="C30" s="34" t="s">
        <v>0</v>
      </c>
      <c r="D30" s="32">
        <v>4</v>
      </c>
      <c r="E30" s="30">
        <f t="shared" si="1"/>
        <v>40</v>
      </c>
      <c r="G30" s="36"/>
      <c r="H30" s="36"/>
      <c r="I30" s="36"/>
    </row>
    <row r="31" spans="1:12" x14ac:dyDescent="0.25">
      <c r="B31" s="33" t="s">
        <v>39</v>
      </c>
      <c r="C31" s="34" t="s">
        <v>2</v>
      </c>
      <c r="D31" s="32">
        <v>6</v>
      </c>
      <c r="E31" s="30">
        <f t="shared" si="1"/>
        <v>48</v>
      </c>
      <c r="G31" s="36"/>
      <c r="H31" s="36"/>
      <c r="I31" s="36"/>
    </row>
    <row r="32" spans="1:12" x14ac:dyDescent="0.25">
      <c r="B32" s="33" t="s">
        <v>40</v>
      </c>
      <c r="C32" s="34" t="s">
        <v>1</v>
      </c>
      <c r="D32" s="32">
        <v>6</v>
      </c>
      <c r="E32" s="30">
        <f t="shared" si="1"/>
        <v>54</v>
      </c>
      <c r="G32" s="36"/>
      <c r="H32" s="36"/>
      <c r="I32" s="36"/>
    </row>
    <row r="33" spans="1:9" x14ac:dyDescent="0.25">
      <c r="B33" s="33" t="s">
        <v>41</v>
      </c>
      <c r="C33" s="34" t="s">
        <v>1</v>
      </c>
      <c r="D33" s="32">
        <v>11</v>
      </c>
      <c r="E33" s="30">
        <f t="shared" si="1"/>
        <v>99</v>
      </c>
      <c r="G33" s="36"/>
      <c r="H33" s="36"/>
      <c r="I33" s="36"/>
    </row>
    <row r="34" spans="1:9" x14ac:dyDescent="0.25">
      <c r="B34" s="33" t="s">
        <v>43</v>
      </c>
      <c r="C34" s="34" t="s">
        <v>0</v>
      </c>
      <c r="D34" s="32">
        <v>3</v>
      </c>
      <c r="E34" s="30">
        <f t="shared" si="1"/>
        <v>30</v>
      </c>
      <c r="G34" s="36"/>
      <c r="H34" s="36"/>
      <c r="I34" s="36"/>
    </row>
    <row r="35" spans="1:9" x14ac:dyDescent="0.25">
      <c r="B35" s="8" t="s">
        <v>23</v>
      </c>
      <c r="C35" s="1">
        <f>SUM(D27:D34)</f>
        <v>52</v>
      </c>
      <c r="E35" s="1"/>
      <c r="G35" s="38"/>
      <c r="H35" s="39"/>
      <c r="I35" s="35"/>
    </row>
    <row r="36" spans="1:9" x14ac:dyDescent="0.25">
      <c r="B36" s="8" t="s">
        <v>14</v>
      </c>
      <c r="C36" s="11">
        <f>IF(SUM(D27:D34)=0," - ",SUM(E27:E34)/SUM(D27:D34))</f>
        <v>9.365384615384615</v>
      </c>
      <c r="E36" s="1"/>
      <c r="G36" s="38"/>
      <c r="H36" s="39"/>
      <c r="I36" s="35"/>
    </row>
    <row r="37" spans="1:9" x14ac:dyDescent="0.25">
      <c r="A37" s="20" t="s">
        <v>15</v>
      </c>
      <c r="B37" s="9"/>
      <c r="C37" s="7"/>
      <c r="D37" s="7"/>
      <c r="E37" s="6"/>
      <c r="G37" s="36"/>
      <c r="H37" s="36"/>
      <c r="I37" s="36"/>
    </row>
    <row r="38" spans="1:9" x14ac:dyDescent="0.25">
      <c r="B38" s="33" t="s">
        <v>44</v>
      </c>
      <c r="C38" s="34" t="s">
        <v>1</v>
      </c>
      <c r="D38" s="32">
        <v>11</v>
      </c>
      <c r="E38" s="30">
        <f t="shared" ref="E38:E43" si="2">IF(OR(ISBLANK(D38),ISBLANK(C38)),0,IF(ISERROR(MATCH(C38,$K$15:$K$22,0)),0,D38*INDEX($L$15:$L$22,MATCH(C38,$K$15:$K$22,0))))</f>
        <v>99</v>
      </c>
      <c r="G38" s="36"/>
      <c r="H38" s="36"/>
      <c r="I38" s="36"/>
    </row>
    <row r="39" spans="1:9" x14ac:dyDescent="0.25">
      <c r="B39" s="33" t="s">
        <v>45</v>
      </c>
      <c r="C39" s="34" t="s">
        <v>0</v>
      </c>
      <c r="D39" s="32">
        <v>14</v>
      </c>
      <c r="E39" s="30">
        <f t="shared" si="2"/>
        <v>140</v>
      </c>
      <c r="G39" s="36"/>
      <c r="H39" s="36"/>
      <c r="I39" s="36"/>
    </row>
    <row r="40" spans="1:9" x14ac:dyDescent="0.25">
      <c r="B40" s="33" t="s">
        <v>46</v>
      </c>
      <c r="C40" s="34" t="s">
        <v>0</v>
      </c>
      <c r="D40" s="32">
        <v>6</v>
      </c>
      <c r="E40" s="30">
        <f t="shared" si="2"/>
        <v>60</v>
      </c>
      <c r="G40" s="36"/>
      <c r="H40" s="36"/>
      <c r="I40" s="36"/>
    </row>
    <row r="41" spans="1:9" x14ac:dyDescent="0.25">
      <c r="B41" s="33" t="s">
        <v>47</v>
      </c>
      <c r="C41" s="34" t="s">
        <v>0</v>
      </c>
      <c r="D41" s="32">
        <v>6</v>
      </c>
      <c r="E41" s="30">
        <f t="shared" si="2"/>
        <v>60</v>
      </c>
      <c r="G41" s="36"/>
      <c r="H41" s="36"/>
      <c r="I41" s="36"/>
    </row>
    <row r="42" spans="1:9" x14ac:dyDescent="0.25">
      <c r="B42" s="33" t="s">
        <v>48</v>
      </c>
      <c r="C42" s="34" t="s">
        <v>1</v>
      </c>
      <c r="D42" s="32">
        <v>11</v>
      </c>
      <c r="E42" s="30">
        <f t="shared" si="2"/>
        <v>99</v>
      </c>
      <c r="G42" s="36"/>
      <c r="H42" s="36"/>
      <c r="I42" s="36"/>
    </row>
    <row r="43" spans="1:9" x14ac:dyDescent="0.25">
      <c r="B43" s="33" t="s">
        <v>49</v>
      </c>
      <c r="C43" s="34" t="s">
        <v>0</v>
      </c>
      <c r="D43" s="32">
        <v>3</v>
      </c>
      <c r="E43" s="30">
        <f t="shared" si="2"/>
        <v>30</v>
      </c>
      <c r="G43" s="36"/>
      <c r="H43" s="36"/>
      <c r="I43" s="36"/>
    </row>
    <row r="44" spans="1:9" x14ac:dyDescent="0.25">
      <c r="B44" s="8" t="s">
        <v>23</v>
      </c>
      <c r="C44" s="1">
        <f>SUM(D38:D43)</f>
        <v>51</v>
      </c>
      <c r="E44" s="1"/>
      <c r="G44" s="38"/>
      <c r="H44" s="39"/>
      <c r="I44" s="35"/>
    </row>
    <row r="45" spans="1:9" x14ac:dyDescent="0.25">
      <c r="B45" s="8" t="s">
        <v>14</v>
      </c>
      <c r="C45" s="11">
        <f>IF(SUM(D38:D43)=0," - ",SUM(E38:E43)/SUM(D38:D43))</f>
        <v>9.5686274509803919</v>
      </c>
      <c r="E45" s="1"/>
      <c r="G45" s="38"/>
      <c r="H45" s="39"/>
      <c r="I45" s="35"/>
    </row>
    <row r="46" spans="1:9" x14ac:dyDescent="0.25">
      <c r="A46" s="20" t="s">
        <v>16</v>
      </c>
      <c r="B46" s="9"/>
      <c r="C46" s="7"/>
      <c r="D46" s="7"/>
      <c r="E46" s="6"/>
      <c r="G46" s="36"/>
      <c r="H46" s="36"/>
      <c r="I46" s="36"/>
    </row>
    <row r="47" spans="1:9" x14ac:dyDescent="0.25">
      <c r="B47" s="33" t="s">
        <v>50</v>
      </c>
      <c r="C47" s="34" t="s">
        <v>2</v>
      </c>
      <c r="D47" s="32">
        <v>11</v>
      </c>
      <c r="E47" s="30">
        <f t="shared" ref="E47:E52" si="3">IF(OR(ISBLANK(D47),ISBLANK(C47)),0,IF(ISERROR(MATCH(C47,$K$15:$K$22,0)),0,D47*INDEX($L$15:$L$22,MATCH(C47,$K$15:$K$22,0))))</f>
        <v>88</v>
      </c>
      <c r="G47" s="36"/>
      <c r="H47" s="36"/>
      <c r="I47" s="36"/>
    </row>
    <row r="48" spans="1:9" x14ac:dyDescent="0.25">
      <c r="B48" s="33" t="s">
        <v>51</v>
      </c>
      <c r="C48" s="34" t="s">
        <v>0</v>
      </c>
      <c r="D48" s="32">
        <v>11</v>
      </c>
      <c r="E48" s="30">
        <f t="shared" si="3"/>
        <v>110</v>
      </c>
      <c r="G48" s="36"/>
      <c r="H48" s="36"/>
      <c r="I48" s="36"/>
    </row>
    <row r="49" spans="1:9" x14ac:dyDescent="0.25">
      <c r="B49" s="33" t="s">
        <v>52</v>
      </c>
      <c r="C49" s="34" t="s">
        <v>0</v>
      </c>
      <c r="D49" s="32">
        <v>13</v>
      </c>
      <c r="E49" s="30">
        <f t="shared" si="3"/>
        <v>130</v>
      </c>
      <c r="G49" s="36"/>
      <c r="H49" s="36"/>
      <c r="I49" s="36"/>
    </row>
    <row r="50" spans="1:9" x14ac:dyDescent="0.25">
      <c r="B50" s="33" t="s">
        <v>53</v>
      </c>
      <c r="C50" s="34" t="s">
        <v>2</v>
      </c>
      <c r="D50" s="32">
        <v>11</v>
      </c>
      <c r="E50" s="30">
        <f t="shared" si="3"/>
        <v>88</v>
      </c>
      <c r="G50" s="36"/>
      <c r="H50" s="36"/>
      <c r="I50" s="36"/>
    </row>
    <row r="51" spans="1:9" x14ac:dyDescent="0.25">
      <c r="B51" s="33" t="s">
        <v>54</v>
      </c>
      <c r="C51" s="34" t="s">
        <v>4</v>
      </c>
      <c r="D51" s="32">
        <v>11</v>
      </c>
      <c r="E51" s="30">
        <f t="shared" si="3"/>
        <v>77</v>
      </c>
      <c r="G51" s="36"/>
      <c r="H51" s="36"/>
      <c r="I51" s="36"/>
    </row>
    <row r="52" spans="1:9" x14ac:dyDescent="0.25">
      <c r="B52" s="33" t="s">
        <v>55</v>
      </c>
      <c r="C52" s="34" t="s">
        <v>0</v>
      </c>
      <c r="D52" s="32">
        <v>3</v>
      </c>
      <c r="E52" s="30">
        <f t="shared" si="3"/>
        <v>30</v>
      </c>
      <c r="G52" s="36"/>
      <c r="H52" s="36"/>
      <c r="I52" s="36"/>
    </row>
    <row r="53" spans="1:9" x14ac:dyDescent="0.25">
      <c r="B53" s="8" t="s">
        <v>23</v>
      </c>
      <c r="C53" s="1">
        <f>SUM(D47:D52)</f>
        <v>60</v>
      </c>
      <c r="E53" s="1"/>
      <c r="G53" s="38"/>
      <c r="H53" s="39"/>
      <c r="I53" s="35"/>
    </row>
    <row r="54" spans="1:9" x14ac:dyDescent="0.25">
      <c r="B54" s="8" t="s">
        <v>14</v>
      </c>
      <c r="C54" s="11">
        <f>IF(SUM(D47:D52)=0," - ",SUM(E47:E52)/SUM(D47:D52))</f>
        <v>8.7166666666666668</v>
      </c>
      <c r="E54" s="1"/>
      <c r="G54" s="38"/>
      <c r="H54" s="39"/>
      <c r="I54" s="35"/>
    </row>
    <row r="55" spans="1:9" x14ac:dyDescent="0.25">
      <c r="A55" s="20" t="s">
        <v>17</v>
      </c>
      <c r="B55" s="9"/>
      <c r="C55" s="7"/>
      <c r="D55" s="7"/>
      <c r="E55" s="6"/>
      <c r="G55" s="36"/>
      <c r="H55" s="36"/>
      <c r="I55" s="36"/>
    </row>
    <row r="56" spans="1:9" x14ac:dyDescent="0.25">
      <c r="B56" s="33" t="s">
        <v>56</v>
      </c>
      <c r="C56" s="34" t="s">
        <v>1</v>
      </c>
      <c r="D56" s="32">
        <v>9</v>
      </c>
      <c r="E56" s="30">
        <f t="shared" ref="E56:E60" si="4">IF(OR(ISBLANK(D56),ISBLANK(C56)),0,IF(ISERROR(MATCH(C56,$K$15:$K$22,0)),0,D56*INDEX($L$15:$L$22,MATCH(C56,$K$15:$K$22,0))))</f>
        <v>81</v>
      </c>
      <c r="G56" s="36"/>
      <c r="H56" s="36"/>
      <c r="I56" s="36"/>
    </row>
    <row r="57" spans="1:9" x14ac:dyDescent="0.25">
      <c r="B57" s="33" t="s">
        <v>57</v>
      </c>
      <c r="C57" s="34" t="s">
        <v>0</v>
      </c>
      <c r="D57" s="32">
        <v>11</v>
      </c>
      <c r="E57" s="30">
        <f t="shared" si="4"/>
        <v>110</v>
      </c>
      <c r="G57" s="36"/>
      <c r="H57" s="36"/>
      <c r="I57" s="36"/>
    </row>
    <row r="58" spans="1:9" x14ac:dyDescent="0.25">
      <c r="B58" s="33" t="s">
        <v>58</v>
      </c>
      <c r="C58" s="34" t="s">
        <v>1</v>
      </c>
      <c r="D58" s="32">
        <v>11</v>
      </c>
      <c r="E58" s="30">
        <f t="shared" si="4"/>
        <v>99</v>
      </c>
      <c r="G58" s="36"/>
      <c r="H58" s="36"/>
      <c r="I58" s="36"/>
    </row>
    <row r="59" spans="1:9" x14ac:dyDescent="0.25">
      <c r="B59" s="33" t="s">
        <v>59</v>
      </c>
      <c r="C59" s="34" t="s">
        <v>26</v>
      </c>
      <c r="D59" s="32">
        <v>12</v>
      </c>
      <c r="E59" s="30">
        <f t="shared" si="4"/>
        <v>120</v>
      </c>
      <c r="G59" s="36"/>
      <c r="H59" s="36"/>
      <c r="I59" s="36"/>
    </row>
    <row r="60" spans="1:9" x14ac:dyDescent="0.25">
      <c r="B60" s="33" t="s">
        <v>42</v>
      </c>
      <c r="C60" s="34" t="s">
        <v>0</v>
      </c>
      <c r="D60" s="32">
        <v>11</v>
      </c>
      <c r="E60" s="30">
        <f t="shared" si="4"/>
        <v>110</v>
      </c>
      <c r="G60" s="36"/>
      <c r="H60" s="36"/>
      <c r="I60" s="36"/>
    </row>
    <row r="61" spans="1:9" x14ac:dyDescent="0.25">
      <c r="B61" s="8" t="s">
        <v>23</v>
      </c>
      <c r="C61" s="1">
        <f>SUM(D56:D60)</f>
        <v>54</v>
      </c>
      <c r="E61" s="1"/>
      <c r="G61" s="38"/>
      <c r="H61" s="39"/>
      <c r="I61" s="35"/>
    </row>
    <row r="62" spans="1:9" x14ac:dyDescent="0.25">
      <c r="B62" s="8" t="s">
        <v>14</v>
      </c>
      <c r="C62" s="11">
        <f>IF(SUM(D56:D60)=0," - ",SUM(E56:E60)/SUM(D56:D60))</f>
        <v>9.6296296296296298</v>
      </c>
      <c r="E62" s="1"/>
      <c r="G62" s="38"/>
      <c r="H62" s="39"/>
      <c r="I62" s="35"/>
    </row>
    <row r="63" spans="1:9" x14ac:dyDescent="0.25">
      <c r="A63" s="20" t="s">
        <v>18</v>
      </c>
      <c r="B63" s="9"/>
      <c r="C63" s="7"/>
      <c r="D63" s="7"/>
      <c r="E63" s="6"/>
      <c r="G63" s="36"/>
      <c r="H63" s="36"/>
      <c r="I63" s="36"/>
    </row>
    <row r="64" spans="1:9" x14ac:dyDescent="0.25">
      <c r="B64" s="31"/>
      <c r="C64" s="32"/>
      <c r="D64" s="32"/>
      <c r="E64" s="30">
        <f t="shared" ref="E64:E70" si="5">IF(OR(ISBLANK(D64),ISBLANK(C64)),0,IF(ISERROR(MATCH(C64,$K$15:$K$22,0)),0,D64*INDEX($L$15:$L$22,MATCH(C64,$K$15:$K$22,0))))</f>
        <v>0</v>
      </c>
      <c r="G64" s="36"/>
      <c r="H64" s="36"/>
      <c r="I64" s="36"/>
    </row>
    <row r="65" spans="1:9" x14ac:dyDescent="0.25">
      <c r="B65" s="31"/>
      <c r="C65" s="32"/>
      <c r="D65" s="32"/>
      <c r="E65" s="30">
        <f t="shared" si="5"/>
        <v>0</v>
      </c>
      <c r="G65" s="36"/>
      <c r="H65" s="36"/>
      <c r="I65" s="36"/>
    </row>
    <row r="66" spans="1:9" x14ac:dyDescent="0.25">
      <c r="B66" s="31"/>
      <c r="C66" s="32"/>
      <c r="D66" s="32"/>
      <c r="E66" s="30">
        <f t="shared" si="5"/>
        <v>0</v>
      </c>
      <c r="G66" s="36"/>
      <c r="H66" s="36"/>
      <c r="I66" s="36"/>
    </row>
    <row r="67" spans="1:9" x14ac:dyDescent="0.25">
      <c r="B67" s="31"/>
      <c r="C67" s="32"/>
      <c r="D67" s="32"/>
      <c r="E67" s="30">
        <f t="shared" si="5"/>
        <v>0</v>
      </c>
      <c r="G67" s="36"/>
      <c r="H67" s="36"/>
      <c r="I67" s="36"/>
    </row>
    <row r="68" spans="1:9" x14ac:dyDescent="0.25">
      <c r="B68" s="31"/>
      <c r="C68" s="32"/>
      <c r="D68" s="32"/>
      <c r="E68" s="30">
        <f t="shared" si="5"/>
        <v>0</v>
      </c>
      <c r="G68" s="36"/>
      <c r="H68" s="36"/>
      <c r="I68" s="36"/>
    </row>
    <row r="69" spans="1:9" x14ac:dyDescent="0.25">
      <c r="B69" s="31"/>
      <c r="C69" s="32"/>
      <c r="D69" s="32"/>
      <c r="E69" s="30">
        <f t="shared" si="5"/>
        <v>0</v>
      </c>
      <c r="G69" s="36"/>
      <c r="H69" s="36"/>
      <c r="I69" s="36"/>
    </row>
    <row r="70" spans="1:9" x14ac:dyDescent="0.25">
      <c r="B70" s="31"/>
      <c r="C70" s="32"/>
      <c r="D70" s="32"/>
      <c r="E70" s="30">
        <f t="shared" si="5"/>
        <v>0</v>
      </c>
      <c r="G70" s="36"/>
      <c r="H70" s="36"/>
      <c r="I70" s="36"/>
    </row>
    <row r="71" spans="1:9" x14ac:dyDescent="0.25">
      <c r="B71" s="8" t="s">
        <v>23</v>
      </c>
      <c r="C71" s="1">
        <f>SUM(D64:D70)</f>
        <v>0</v>
      </c>
      <c r="E71" s="1"/>
      <c r="G71" s="38"/>
      <c r="H71" s="39"/>
      <c r="I71" s="35"/>
    </row>
    <row r="72" spans="1:9" x14ac:dyDescent="0.25">
      <c r="B72" s="8" t="s">
        <v>14</v>
      </c>
      <c r="C72" s="11" t="str">
        <f>IF(SUM(D64:D70)=0," - ",SUM(E64:E70)/SUM(D64:D70))</f>
        <v xml:space="preserve"> - </v>
      </c>
      <c r="E72" s="1"/>
      <c r="G72" s="38"/>
      <c r="H72" s="39"/>
      <c r="I72" s="35"/>
    </row>
    <row r="73" spans="1:9" x14ac:dyDescent="0.25">
      <c r="A73" s="20" t="s">
        <v>19</v>
      </c>
      <c r="B73" s="9"/>
      <c r="C73" s="7"/>
      <c r="D73" s="7"/>
      <c r="E73" s="6"/>
      <c r="G73" s="36"/>
      <c r="H73" s="36"/>
      <c r="I73" s="36"/>
    </row>
    <row r="74" spans="1:9" x14ac:dyDescent="0.25">
      <c r="B74" s="31"/>
      <c r="C74" s="32"/>
      <c r="D74" s="32"/>
      <c r="E74" s="30">
        <f t="shared" ref="E74:E80" si="6">IF(OR(ISBLANK(D74),ISBLANK(C74)),0,IF(ISERROR(MATCH(C74,$K$15:$K$22,0)),0,D74*INDEX($L$15:$L$22,MATCH(C74,$K$15:$K$22,0))))</f>
        <v>0</v>
      </c>
      <c r="G74" s="36"/>
      <c r="H74" s="36"/>
      <c r="I74" s="36"/>
    </row>
    <row r="75" spans="1:9" x14ac:dyDescent="0.25">
      <c r="B75" s="31"/>
      <c r="C75" s="32"/>
      <c r="D75" s="32"/>
      <c r="E75" s="30">
        <f t="shared" si="6"/>
        <v>0</v>
      </c>
      <c r="G75" s="36"/>
      <c r="H75" s="36"/>
      <c r="I75" s="36"/>
    </row>
    <row r="76" spans="1:9" x14ac:dyDescent="0.25">
      <c r="B76" s="31"/>
      <c r="C76" s="32"/>
      <c r="D76" s="32"/>
      <c r="E76" s="30">
        <f t="shared" si="6"/>
        <v>0</v>
      </c>
      <c r="G76" s="36"/>
      <c r="H76" s="36"/>
      <c r="I76" s="36"/>
    </row>
    <row r="77" spans="1:9" x14ac:dyDescent="0.25">
      <c r="B77" s="31"/>
      <c r="C77" s="32"/>
      <c r="D77" s="32"/>
      <c r="E77" s="30">
        <f t="shared" si="6"/>
        <v>0</v>
      </c>
      <c r="G77" s="36"/>
      <c r="H77" s="36"/>
      <c r="I77" s="36"/>
    </row>
    <row r="78" spans="1:9" x14ac:dyDescent="0.25">
      <c r="B78" s="31"/>
      <c r="C78" s="32"/>
      <c r="D78" s="32"/>
      <c r="E78" s="30">
        <f t="shared" si="6"/>
        <v>0</v>
      </c>
      <c r="G78" s="36"/>
      <c r="H78" s="36"/>
      <c r="I78" s="36"/>
    </row>
    <row r="79" spans="1:9" x14ac:dyDescent="0.25">
      <c r="B79" s="31"/>
      <c r="C79" s="32"/>
      <c r="D79" s="32"/>
      <c r="E79" s="30">
        <f t="shared" si="6"/>
        <v>0</v>
      </c>
      <c r="G79" s="36"/>
      <c r="H79" s="36"/>
      <c r="I79" s="36"/>
    </row>
    <row r="80" spans="1:9" x14ac:dyDescent="0.25">
      <c r="B80" s="31"/>
      <c r="C80" s="32"/>
      <c r="D80" s="32"/>
      <c r="E80" s="30">
        <f t="shared" si="6"/>
        <v>0</v>
      </c>
      <c r="G80" s="36"/>
      <c r="H80" s="36"/>
      <c r="I80" s="36"/>
    </row>
    <row r="81" spans="1:9" x14ac:dyDescent="0.25">
      <c r="B81" s="8" t="s">
        <v>23</v>
      </c>
      <c r="C81" s="1">
        <f>SUM(D74:D80)</f>
        <v>0</v>
      </c>
      <c r="E81" s="1"/>
      <c r="G81" s="38"/>
      <c r="H81" s="39"/>
      <c r="I81" s="35"/>
    </row>
    <row r="82" spans="1:9" x14ac:dyDescent="0.25">
      <c r="B82" s="8" t="s">
        <v>14</v>
      </c>
      <c r="C82" s="11" t="str">
        <f>IF(SUM(D74:D80)=0," - ",SUM(E74:E80)/SUM(D74:D80))</f>
        <v xml:space="preserve"> - </v>
      </c>
      <c r="E82" s="1"/>
      <c r="G82" s="38"/>
      <c r="H82" s="39"/>
      <c r="I82" s="35"/>
    </row>
    <row r="83" spans="1:9" x14ac:dyDescent="0.25">
      <c r="A83" s="20" t="s">
        <v>20</v>
      </c>
      <c r="B83" s="9"/>
      <c r="C83" s="7"/>
      <c r="D83" s="7"/>
      <c r="E83" s="6"/>
      <c r="G83" s="36"/>
      <c r="H83" s="36"/>
      <c r="I83" s="36"/>
    </row>
    <row r="84" spans="1:9" x14ac:dyDescent="0.25">
      <c r="B84" s="31"/>
      <c r="C84" s="32"/>
      <c r="D84" s="32"/>
      <c r="E84" s="30">
        <f t="shared" ref="E84:E90" si="7">IF(OR(ISBLANK(D84),ISBLANK(C84)),0,IF(ISERROR(MATCH(C84,$K$15:$K$22,0)),0,D84*INDEX($L$15:$L$22,MATCH(C84,$K$15:$K$22,0))))</f>
        <v>0</v>
      </c>
      <c r="G84" s="36"/>
      <c r="H84" s="36"/>
      <c r="I84" s="36"/>
    </row>
    <row r="85" spans="1:9" x14ac:dyDescent="0.25">
      <c r="B85" s="31"/>
      <c r="C85" s="32"/>
      <c r="D85" s="32"/>
      <c r="E85" s="30">
        <f t="shared" si="7"/>
        <v>0</v>
      </c>
      <c r="G85" s="36"/>
      <c r="H85" s="36"/>
      <c r="I85" s="36"/>
    </row>
    <row r="86" spans="1:9" x14ac:dyDescent="0.25">
      <c r="B86" s="31"/>
      <c r="C86" s="32"/>
      <c r="D86" s="32"/>
      <c r="E86" s="30">
        <f t="shared" si="7"/>
        <v>0</v>
      </c>
      <c r="G86" s="36"/>
      <c r="H86" s="36"/>
      <c r="I86" s="36"/>
    </row>
    <row r="87" spans="1:9" x14ac:dyDescent="0.25">
      <c r="B87" s="31"/>
      <c r="C87" s="32"/>
      <c r="D87" s="32"/>
      <c r="E87" s="30">
        <f t="shared" si="7"/>
        <v>0</v>
      </c>
      <c r="G87" s="36"/>
      <c r="H87" s="36"/>
      <c r="I87" s="36"/>
    </row>
    <row r="88" spans="1:9" x14ac:dyDescent="0.25">
      <c r="A88" s="13" t="s">
        <v>21</v>
      </c>
      <c r="B88" s="31"/>
      <c r="C88" s="32"/>
      <c r="D88" s="32"/>
      <c r="E88" s="30">
        <f t="shared" si="7"/>
        <v>0</v>
      </c>
      <c r="G88" s="36"/>
      <c r="H88" s="36"/>
      <c r="I88" s="36"/>
    </row>
    <row r="89" spans="1:9" x14ac:dyDescent="0.25">
      <c r="B89" s="31"/>
      <c r="C89" s="32"/>
      <c r="D89" s="32"/>
      <c r="E89" s="30">
        <f t="shared" si="7"/>
        <v>0</v>
      </c>
      <c r="G89" s="36"/>
      <c r="H89" s="36"/>
      <c r="I89" s="36"/>
    </row>
    <row r="90" spans="1:9" x14ac:dyDescent="0.25">
      <c r="B90" s="31"/>
      <c r="C90" s="32"/>
      <c r="D90" s="32"/>
      <c r="E90" s="30">
        <f t="shared" si="7"/>
        <v>0</v>
      </c>
      <c r="G90" s="36"/>
      <c r="H90" s="36"/>
      <c r="I90" s="36"/>
    </row>
    <row r="91" spans="1:9" x14ac:dyDescent="0.25">
      <c r="B91" s="8" t="s">
        <v>23</v>
      </c>
      <c r="C91" s="1">
        <f>SUM(D84:D90)</f>
        <v>0</v>
      </c>
      <c r="E91" s="1"/>
      <c r="G91" s="13" t="s">
        <v>21</v>
      </c>
      <c r="H91" s="1"/>
    </row>
    <row r="92" spans="1:9" x14ac:dyDescent="0.25">
      <c r="B92" s="8" t="s">
        <v>14</v>
      </c>
      <c r="C92" s="11" t="str">
        <f>IF(SUM(D84:D90)=0," - ",SUM(E84:E90)/SUM(D84:D90))</f>
        <v xml:space="preserve"> - </v>
      </c>
      <c r="E92" s="1"/>
      <c r="G92" s="8"/>
      <c r="H92" s="1"/>
    </row>
    <row r="93" spans="1:9" x14ac:dyDescent="0.25">
      <c r="B93" s="8"/>
      <c r="C93" s="11"/>
      <c r="E93" s="1"/>
      <c r="G93" s="8"/>
      <c r="H93" s="1"/>
    </row>
    <row r="94" spans="1:9" x14ac:dyDescent="0.25">
      <c r="A94" s="16"/>
      <c r="B94" s="17"/>
      <c r="C94" s="17"/>
      <c r="D94" s="17"/>
      <c r="E94" s="17"/>
      <c r="F94" s="17"/>
      <c r="G94" s="17"/>
      <c r="H94" s="17"/>
      <c r="I94" s="17"/>
    </row>
    <row r="95" spans="1:9" x14ac:dyDescent="0.25">
      <c r="A95" s="17"/>
      <c r="B95" s="43"/>
      <c r="C95" s="43"/>
      <c r="D95" s="43"/>
      <c r="E95" s="43"/>
      <c r="F95" s="43"/>
      <c r="G95" s="43"/>
      <c r="H95" s="43"/>
      <c r="I95" s="43"/>
    </row>
    <row r="96" spans="1:9" x14ac:dyDescent="0.25">
      <c r="A96" s="17"/>
      <c r="B96" s="18"/>
      <c r="C96" s="17"/>
      <c r="D96" s="17"/>
      <c r="E96" s="17"/>
      <c r="F96" s="17"/>
      <c r="G96" s="17"/>
      <c r="H96" s="17"/>
      <c r="I96" s="17"/>
    </row>
    <row r="97" spans="1:9" x14ac:dyDescent="0.25">
      <c r="D97" s="8"/>
      <c r="E97" s="11"/>
      <c r="H97" s="8"/>
      <c r="I97" s="11"/>
    </row>
    <row r="98" spans="1:9" x14ac:dyDescent="0.25">
      <c r="A98" s="41"/>
      <c r="B98" s="41"/>
      <c r="C98" s="41"/>
      <c r="D98" s="41"/>
      <c r="E98" s="41"/>
      <c r="I98" s="21"/>
    </row>
  </sheetData>
  <mergeCells count="5">
    <mergeCell ref="A98:E98"/>
    <mergeCell ref="K13:L13"/>
    <mergeCell ref="B95:I95"/>
    <mergeCell ref="A2:E2"/>
    <mergeCell ref="A1:C1"/>
  </mergeCells>
  <phoneticPr fontId="4" type="noConversion"/>
  <pageMargins left="0.75" right="0.75" top="0.5" bottom="0.5" header="0.5" footer="0.25"/>
  <pageSetup scale="98" orientation="portrait" r:id="rId1"/>
  <headerFooter alignWithMargins="0"/>
  <rowBreaks count="1" manualBreakCount="1">
    <brk id="54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cpi_calculator</vt:lpstr>
      <vt:lpstr>cpi_calculator!Print_Area</vt:lpstr>
      <vt:lpstr>cpi_calculator!Print_Titles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GPA Calculator</dc:title>
  <dc:creator>Vertex42.com</dc:creator>
  <dc:description>(c) 2010-2014 Vertex42 LLC. All Rights Reserved.</dc:description>
  <cp:lastModifiedBy>Ronit Kumar</cp:lastModifiedBy>
  <cp:lastPrinted>2011-06-07T14:50:12Z</cp:lastPrinted>
  <dcterms:created xsi:type="dcterms:W3CDTF">2008-04-12T17:21:19Z</dcterms:created>
  <dcterms:modified xsi:type="dcterms:W3CDTF">2025-12-04T14:06:21Z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2010-2014 Vertex42 LLC</vt:lpwstr>
  </property>
  <property fmtid="{D5CDD505-2E9C-101B-9397-08002B2CF9AE}" pid="3" name="Version">
    <vt:lpwstr>2.1.1</vt:lpwstr>
  </property>
  <property fmtid="{D5CDD505-2E9C-101B-9397-08002B2CF9AE}" pid="4" name="Source">
    <vt:lpwstr>https://www.vertex42.com/ExcelTemplates/gpa-calculator.html</vt:lpwstr>
  </property>
</Properties>
</file>