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ITK_Acads\"/>
    </mc:Choice>
  </mc:AlternateContent>
  <xr:revisionPtr revIDLastSave="0" documentId="13_ncr:1_{8DEFA6BA-17D4-4A7C-8DD9-9AE273B05B7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5th Sem Marks" sheetId="1" r:id="rId1"/>
    <sheet name="6th Sem Marks" sheetId="2" r:id="rId2"/>
    <sheet name="6th Sem Time Tabl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" i="2" l="1"/>
  <c r="A5" i="2"/>
  <c r="F20" i="2"/>
  <c r="F19" i="2"/>
  <c r="A4" i="2"/>
  <c r="C34" i="1"/>
  <c r="A34" i="1"/>
  <c r="C33" i="1"/>
  <c r="A33" i="1"/>
  <c r="A32" i="1"/>
  <c r="A31" i="1"/>
  <c r="F30" i="1"/>
  <c r="A30" i="1"/>
  <c r="F29" i="1"/>
  <c r="A29" i="1"/>
  <c r="C35" i="1" s="1"/>
  <c r="B35" i="1" s="1"/>
  <c r="F28" i="1"/>
  <c r="F14" i="1"/>
  <c r="B14" i="1"/>
  <c r="B15" i="1" s="1"/>
  <c r="I13" i="1"/>
  <c r="B13" i="1"/>
  <c r="A13" i="1"/>
  <c r="I12" i="1"/>
  <c r="F12" i="1"/>
  <c r="E12" i="1"/>
  <c r="I11" i="1"/>
  <c r="E11" i="1"/>
  <c r="B11" i="1"/>
  <c r="F10" i="1"/>
  <c r="E10" i="1"/>
  <c r="B10" i="1"/>
  <c r="A10" i="1"/>
  <c r="E9" i="1"/>
  <c r="E8" i="1"/>
  <c r="B8" i="1"/>
  <c r="A8" i="1"/>
  <c r="E7" i="1"/>
  <c r="B7" i="1"/>
  <c r="A7" i="1"/>
  <c r="F6" i="1"/>
  <c r="E6" i="1"/>
  <c r="B6" i="1"/>
  <c r="A6" i="1"/>
  <c r="F5" i="1"/>
  <c r="E5" i="1"/>
  <c r="B5" i="1"/>
  <c r="A5" i="1"/>
  <c r="F4" i="1"/>
  <c r="E4" i="1"/>
  <c r="B4" i="1"/>
  <c r="A4" i="1"/>
</calcChain>
</file>

<file path=xl/sharedStrings.xml><?xml version="1.0" encoding="utf-8"?>
<sst xmlns="http://schemas.openxmlformats.org/spreadsheetml/2006/main" count="142" uniqueCount="109">
  <si>
    <t>EE370</t>
  </si>
  <si>
    <t>EE320</t>
  </si>
  <si>
    <t>ART404</t>
  </si>
  <si>
    <t>Surpise Quiz (5%) N-1</t>
  </si>
  <si>
    <t>Mini Quiz (15%) N-1</t>
  </si>
  <si>
    <t>Mini Quiz (10%)</t>
  </si>
  <si>
    <t>Major Quiz (20%) N-1</t>
  </si>
  <si>
    <t>Major Quiz (20%)</t>
  </si>
  <si>
    <t>mean = 15.55/20</t>
  </si>
  <si>
    <t>mean = 11.68/20</t>
  </si>
  <si>
    <t>MidSem (30%)</t>
  </si>
  <si>
    <t>mean = 7.89/20</t>
  </si>
  <si>
    <t>mean = 12.38/20</t>
  </si>
  <si>
    <t>MidSem (25%)</t>
  </si>
  <si>
    <t>EndSem (33)</t>
  </si>
  <si>
    <t>mean = 11.41/20</t>
  </si>
  <si>
    <t>Major Quiz (25%)</t>
  </si>
  <si>
    <t>EndSem (45%)</t>
  </si>
  <si>
    <t>Attendance (15%)</t>
  </si>
  <si>
    <t>mean = 20.95</t>
  </si>
  <si>
    <t>mean =56.6</t>
  </si>
  <si>
    <t>mean = 18.5</t>
  </si>
  <si>
    <t>mini weightage</t>
  </si>
  <si>
    <t>Total (100%)(98)</t>
  </si>
  <si>
    <t>% out of 98</t>
  </si>
  <si>
    <t>EndSem (30%)</t>
  </si>
  <si>
    <t>weightage(1mini, 2sup)</t>
  </si>
  <si>
    <t>Total (100%)(100)</t>
  </si>
  <si>
    <t>27/33 prorated to 28.63/35</t>
  </si>
  <si>
    <t xml:space="preserve"> +2 grace given to all</t>
  </si>
  <si>
    <t>mean = 64.6</t>
  </si>
  <si>
    <t>Toatal (100%)</t>
  </si>
  <si>
    <t>Total (100%)</t>
  </si>
  <si>
    <t>EE380</t>
  </si>
  <si>
    <t>PHY113</t>
  </si>
  <si>
    <t>CS Lab(25%)(1,2,3,4,5)</t>
  </si>
  <si>
    <t>EC Lab(20%)(1,2,3,5,6)</t>
  </si>
  <si>
    <t xml:space="preserve">Major Quiz (40) </t>
  </si>
  <si>
    <t>Pre Lab(10)</t>
  </si>
  <si>
    <t>In Lab(10)</t>
  </si>
  <si>
    <t>Lab Report</t>
  </si>
  <si>
    <t>Avg = 14.53</t>
  </si>
  <si>
    <t xml:space="preserve">Avg = </t>
  </si>
  <si>
    <t>MidSem (80)</t>
  </si>
  <si>
    <t>Avg = 53.83</t>
  </si>
  <si>
    <t>EndSem (117)</t>
  </si>
  <si>
    <t>EMEC Lab(20%)</t>
  </si>
  <si>
    <t>Pre+Post+atndnce(6+6+2)</t>
  </si>
  <si>
    <t>Viva(6)</t>
  </si>
  <si>
    <t>MidSem (10%)</t>
  </si>
  <si>
    <t>Total (100%)(237)</t>
  </si>
  <si>
    <t>% out of 237</t>
  </si>
  <si>
    <t>Total (100%)(240)</t>
  </si>
  <si>
    <t>91/117 proted to 93.33/120</t>
  </si>
  <si>
    <t>EndLabExam(25%)</t>
  </si>
  <si>
    <t xml:space="preserve"> +3 grace given to all</t>
  </si>
  <si>
    <t>Final Marks(CS,EC,EMEC)</t>
  </si>
  <si>
    <t>Total(100%)</t>
  </si>
  <si>
    <t>prelab me 6 h -&gt; not sure</t>
  </si>
  <si>
    <t>MID SEM</t>
  </si>
  <si>
    <t>Sept     \ Slot</t>
  </si>
  <si>
    <t>8am - 10am</t>
  </si>
  <si>
    <t>1pm - 3pm</t>
  </si>
  <si>
    <t>6pm - 8pm</t>
  </si>
  <si>
    <t>16th</t>
  </si>
  <si>
    <t>17th</t>
  </si>
  <si>
    <t>18th</t>
  </si>
  <si>
    <t>19th</t>
  </si>
  <si>
    <t>20th</t>
  </si>
  <si>
    <t>21st</t>
  </si>
  <si>
    <t>22nd</t>
  </si>
  <si>
    <t>CS253</t>
  </si>
  <si>
    <t>Weekly Quiz (20%)</t>
  </si>
  <si>
    <t>EE381</t>
  </si>
  <si>
    <t>EE340</t>
  </si>
  <si>
    <t>DCMP Lab (20%)</t>
  </si>
  <si>
    <t>EC Lab (20%)</t>
  </si>
  <si>
    <t>Mini Quiz (10%) (N-2)</t>
  </si>
  <si>
    <t>Pre Lab</t>
  </si>
  <si>
    <t>In Lab</t>
  </si>
  <si>
    <t>Post Lab</t>
  </si>
  <si>
    <t>Attrndance (5%)</t>
  </si>
  <si>
    <t>Monday</t>
  </si>
  <si>
    <t>Tuesday</t>
  </si>
  <si>
    <t>Wednesday</t>
  </si>
  <si>
    <t>Thursday</t>
  </si>
  <si>
    <t>Friday</t>
  </si>
  <si>
    <t>08:00 - 9:00</t>
  </si>
  <si>
    <r>
      <rPr>
        <b/>
        <sz val="14"/>
        <color rgb="FF1F4E79"/>
        <rFont val="Calibri"/>
        <family val="2"/>
        <charset val="1"/>
      </rPr>
      <t xml:space="preserve">EE340
</t>
    </r>
    <r>
      <rPr>
        <sz val="11"/>
        <color rgb="FF1F4E79"/>
        <rFont val="Calibri"/>
        <family val="2"/>
        <charset val="1"/>
      </rPr>
      <t>LEC L18</t>
    </r>
  </si>
  <si>
    <t>09:00 - 10:00</t>
  </si>
  <si>
    <r>
      <rPr>
        <b/>
        <sz val="14"/>
        <color rgb="FF806000"/>
        <rFont val="Calibri"/>
        <family val="2"/>
        <charset val="1"/>
      </rPr>
      <t xml:space="preserve">EE381
</t>
    </r>
    <r>
      <rPr>
        <sz val="11"/>
        <color rgb="FF806000"/>
        <rFont val="Calibri"/>
        <family val="2"/>
        <charset val="1"/>
      </rPr>
      <t>LEC L01</t>
    </r>
  </si>
  <si>
    <t>10:00 - 11:00</t>
  </si>
  <si>
    <r>
      <rPr>
        <b/>
        <sz val="14"/>
        <color rgb="FF860000"/>
        <rFont val="Calibri"/>
        <family val="2"/>
        <charset val="1"/>
      </rPr>
      <t xml:space="preserve">CS253
</t>
    </r>
    <r>
      <rPr>
        <sz val="11"/>
        <color rgb="FF860000"/>
        <rFont val="Calibri"/>
        <family val="2"/>
        <charset val="1"/>
      </rPr>
      <t>LEC L07</t>
    </r>
  </si>
  <si>
    <t>11:00 - 12:00</t>
  </si>
  <si>
    <r>
      <rPr>
        <b/>
        <sz val="14"/>
        <color rgb="FF806000"/>
        <rFont val="Calibri"/>
        <family val="2"/>
        <charset val="1"/>
      </rPr>
      <t xml:space="preserve">EE381
</t>
    </r>
    <r>
      <rPr>
        <sz val="11"/>
        <color rgb="FF806000"/>
        <rFont val="Calibri"/>
        <family val="2"/>
        <charset val="1"/>
      </rPr>
      <t>LEC L02</t>
    </r>
  </si>
  <si>
    <t>12:00 - 13:00</t>
  </si>
  <si>
    <r>
      <rPr>
        <b/>
        <sz val="14"/>
        <color rgb="FF385724"/>
        <rFont val="Calibri"/>
        <family val="2"/>
        <charset val="1"/>
      </rPr>
      <t xml:space="preserve">ESO207
</t>
    </r>
    <r>
      <rPr>
        <sz val="11"/>
        <color rgb="FF385724"/>
        <rFont val="Calibri"/>
        <family val="2"/>
        <charset val="1"/>
      </rPr>
      <t>LEC L07</t>
    </r>
  </si>
  <si>
    <t>13:00 - 14:00</t>
  </si>
  <si>
    <t>14:00 - 15:00</t>
  </si>
  <si>
    <r>
      <rPr>
        <b/>
        <sz val="14"/>
        <color rgb="FF806000"/>
        <rFont val="Calibri"/>
        <family val="2"/>
        <charset val="1"/>
      </rPr>
      <t xml:space="preserve">EE381
</t>
    </r>
    <r>
      <rPr>
        <sz val="11"/>
        <color rgb="FF806000"/>
        <rFont val="Calibri"/>
        <family val="2"/>
        <charset val="1"/>
      </rPr>
      <t xml:space="preserve">LAB </t>
    </r>
  </si>
  <si>
    <r>
      <rPr>
        <b/>
        <sz val="14"/>
        <color rgb="FF1F4E79"/>
        <rFont val="Calibri"/>
        <family val="2"/>
        <charset val="1"/>
      </rPr>
      <t xml:space="preserve">EE340
</t>
    </r>
    <r>
      <rPr>
        <sz val="11"/>
        <color rgb="FF000000"/>
        <rFont val="Calibri"/>
        <family val="2"/>
        <charset val="1"/>
      </rPr>
      <t>TUT</t>
    </r>
  </si>
  <si>
    <t>15:00 - 15:30</t>
  </si>
  <si>
    <t>15:30 - 16:00</t>
  </si>
  <si>
    <r>
      <rPr>
        <b/>
        <sz val="14"/>
        <color rgb="FF843C0B"/>
        <rFont val="Calibri"/>
        <family val="2"/>
        <charset val="1"/>
      </rPr>
      <t xml:space="preserve">CS633
</t>
    </r>
    <r>
      <rPr>
        <sz val="11"/>
        <color rgb="FF843C0B"/>
        <rFont val="Calibri"/>
        <family val="2"/>
        <charset val="1"/>
      </rPr>
      <t>LEC L07</t>
    </r>
  </si>
  <si>
    <t>16:00 - 17:00</t>
  </si>
  <si>
    <t>4.5hr</t>
  </si>
  <si>
    <t>5hr</t>
  </si>
  <si>
    <t>3.5hr</t>
  </si>
  <si>
    <t>2hr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</si>
</sst>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???/???"/>
  </numFmts>
  <fonts count="26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3"/>
      <color rgb="FFFBE5D6"/>
      <name val="Arial"/>
      <family val="2"/>
      <charset val="1"/>
    </font>
    <font>
      <sz val="10"/>
      <color rgb="FFFBE5D6"/>
      <name val="Arial"/>
      <family val="2"/>
      <charset val="1"/>
    </font>
    <font>
      <sz val="3"/>
      <color rgb="FF333F50"/>
      <name val="Arial"/>
      <family val="2"/>
      <charset val="1"/>
    </font>
    <font>
      <sz val="10"/>
      <color rgb="FF333F50"/>
      <name val="Arial"/>
      <family val="2"/>
      <charset val="1"/>
    </font>
    <font>
      <sz val="3"/>
      <color rgb="FF535353"/>
      <name val="Arial"/>
      <family val="2"/>
      <charset val="1"/>
    </font>
    <font>
      <sz val="10"/>
      <color rgb="FF535353"/>
      <name val="Arial"/>
      <family val="2"/>
      <charset val="1"/>
    </font>
    <font>
      <sz val="3"/>
      <color rgb="FFCC9900"/>
      <name val="Arial"/>
      <family val="2"/>
      <charset val="1"/>
    </font>
    <font>
      <sz val="10"/>
      <color rgb="FFCC9900"/>
      <name val="Arial"/>
      <family val="2"/>
      <charset val="1"/>
    </font>
    <font>
      <sz val="4"/>
      <color rgb="FFF4B183"/>
      <name val="Arial"/>
      <family val="2"/>
      <charset val="1"/>
    </font>
    <font>
      <sz val="10"/>
      <color rgb="FFF4B183"/>
      <name val="Arial"/>
      <family val="2"/>
      <charset val="1"/>
    </font>
    <font>
      <sz val="8"/>
      <color rgb="FF6C757D"/>
      <name val="Segoe UI Emoji"/>
      <family val="2"/>
      <charset val="1"/>
    </font>
    <font>
      <sz val="16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1F4E79"/>
      <name val="Calibri"/>
      <family val="2"/>
      <charset val="1"/>
    </font>
    <font>
      <sz val="11"/>
      <color rgb="FF1F4E79"/>
      <name val="Calibri"/>
      <family val="2"/>
      <charset val="1"/>
    </font>
    <font>
      <b/>
      <sz val="14"/>
      <color rgb="FF806000"/>
      <name val="Calibri"/>
      <family val="2"/>
      <charset val="1"/>
    </font>
    <font>
      <sz val="11"/>
      <color rgb="FF806000"/>
      <name val="Calibri"/>
      <family val="2"/>
      <charset val="1"/>
    </font>
    <font>
      <b/>
      <sz val="14"/>
      <color rgb="FF860000"/>
      <name val="Calibri"/>
      <family val="2"/>
      <charset val="1"/>
    </font>
    <font>
      <sz val="11"/>
      <color rgb="FF860000"/>
      <name val="Calibri"/>
      <family val="2"/>
      <charset val="1"/>
    </font>
    <font>
      <b/>
      <sz val="14"/>
      <color rgb="FF385724"/>
      <name val="Calibri"/>
      <family val="2"/>
      <charset val="1"/>
    </font>
    <font>
      <sz val="11"/>
      <color rgb="FF385724"/>
      <name val="Calibri"/>
      <family val="2"/>
      <charset val="1"/>
    </font>
    <font>
      <b/>
      <sz val="14"/>
      <color rgb="FF843C0B"/>
      <name val="Calibri"/>
      <family val="2"/>
      <charset val="1"/>
    </font>
    <font>
      <sz val="11"/>
      <color rgb="FF843C0B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C5E0B4"/>
        <bgColor rgb="FFDBDBDB"/>
      </patternFill>
    </fill>
    <fill>
      <patternFill patternType="solid">
        <fgColor rgb="FFAFABAB"/>
        <bgColor rgb="FF969696"/>
      </patternFill>
    </fill>
    <fill>
      <patternFill patternType="solid">
        <fgColor rgb="FFDBDBDB"/>
        <bgColor rgb="FFDAE3F3"/>
      </patternFill>
    </fill>
    <fill>
      <patternFill patternType="solid">
        <fgColor rgb="FF000000"/>
        <bgColor rgb="FF003300"/>
      </patternFill>
    </fill>
    <fill>
      <patternFill patternType="solid">
        <fgColor rgb="FFFF7C80"/>
        <bgColor rgb="FFFF99CC"/>
      </patternFill>
    </fill>
    <fill>
      <patternFill patternType="solid">
        <fgColor rgb="FF6699FF"/>
        <bgColor rgb="FF969696"/>
      </patternFill>
    </fill>
    <fill>
      <patternFill patternType="solid">
        <fgColor rgb="FF99FF99"/>
        <bgColor rgb="FFC5E0B4"/>
      </patternFill>
    </fill>
    <fill>
      <patternFill patternType="solid">
        <fgColor rgb="FF548235"/>
        <bgColor rgb="FF6C757D"/>
      </patternFill>
    </fill>
    <fill>
      <patternFill patternType="solid">
        <fgColor rgb="FFC55A11"/>
        <bgColor rgb="FF806000"/>
      </patternFill>
    </fill>
    <fill>
      <patternFill patternType="solid">
        <fgColor rgb="FFDAE3F3"/>
        <bgColor rgb="FFDBDBDB"/>
      </patternFill>
    </fill>
    <fill>
      <patternFill patternType="solid">
        <fgColor rgb="FFFFF2CC"/>
        <bgColor rgb="FFFBE5D6"/>
      </patternFill>
    </fill>
    <fill>
      <patternFill patternType="solid">
        <fgColor rgb="FFFFD9D9"/>
        <bgColor rgb="FFFBE5D6"/>
      </patternFill>
    </fill>
    <fill>
      <patternFill patternType="solid">
        <fgColor rgb="FFE2F0D9"/>
        <bgColor rgb="FFDAE3F3"/>
      </patternFill>
    </fill>
    <fill>
      <patternFill patternType="solid">
        <fgColor rgb="FFFBE5D6"/>
        <bgColor rgb="FFFFD9D9"/>
      </patternFill>
    </fill>
    <fill>
      <patternFill patternType="solid">
        <fgColor theme="6" tint="0.59999389629810485"/>
        <bgColor indexed="64"/>
      </patternFill>
    </fill>
  </fills>
  <borders count="5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medium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 diagonalUp="1">
      <left style="thick">
        <color auto="1"/>
      </left>
      <right style="thin">
        <color auto="1"/>
      </right>
      <top style="thick">
        <color auto="1"/>
      </top>
      <bottom/>
      <diagonal style="thin">
        <color auto="1"/>
      </diagonal>
    </border>
    <border diagonalUp="1">
      <left style="thin">
        <color auto="1"/>
      </left>
      <right style="thick">
        <color auto="1"/>
      </right>
      <top style="thick">
        <color auto="1"/>
      </top>
      <bottom/>
      <diagonal style="thin">
        <color auto="1"/>
      </diagonal>
    </border>
    <border diagonalUp="1">
      <left style="thick">
        <color auto="1"/>
      </left>
      <right style="thick">
        <color auto="1"/>
      </right>
      <top/>
      <bottom style="thick">
        <color auto="1"/>
      </bottom>
      <diagonal style="thin">
        <color auto="1"/>
      </diagonal>
    </border>
    <border diagonalUp="1">
      <left style="thick">
        <color auto="1"/>
      </left>
      <right style="thick">
        <color auto="1"/>
      </right>
      <top style="thick">
        <color auto="1"/>
      </top>
      <bottom/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ck">
        <color auto="1"/>
      </right>
      <top/>
      <bottom/>
      <diagonal style="thin">
        <color auto="1"/>
      </diagonal>
    </border>
    <border diagonalUp="1">
      <left style="thick">
        <color auto="1"/>
      </left>
      <right style="thin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 diagonalDown="1">
      <left style="thick">
        <color auto="1"/>
      </left>
      <right style="thin">
        <color auto="1"/>
      </right>
      <top/>
      <bottom style="thick">
        <color auto="1"/>
      </bottom>
      <diagonal style="thin">
        <color auto="1"/>
      </diagonal>
    </border>
    <border diagonalUp="1" diagonalDown="1">
      <left/>
      <right style="thick">
        <color auto="1"/>
      </right>
      <top/>
      <bottom style="thick">
        <color auto="1"/>
      </bottom>
      <diagonal style="thin">
        <color auto="1"/>
      </diagonal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 diagonalDown="1">
      <left style="thin">
        <color auto="1"/>
      </left>
      <right style="thin">
        <color auto="1"/>
      </right>
      <top/>
      <bottom/>
      <diagonal style="thick">
        <color auto="1"/>
      </diagonal>
    </border>
    <border diagonalDown="1">
      <left style="thin">
        <color auto="1"/>
      </left>
      <right style="thick">
        <color auto="1"/>
      </right>
      <top/>
      <bottom/>
      <diagonal style="thick">
        <color auto="1"/>
      </diagonal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24" fillId="15" borderId="58" xfId="0" applyFont="1" applyFill="1" applyBorder="1" applyAlignment="1">
      <alignment horizontal="center" vertical="center" wrapText="1"/>
    </xf>
    <xf numFmtId="0" fontId="24" fillId="15" borderId="26" xfId="0" applyFont="1" applyFill="1" applyBorder="1" applyAlignment="1">
      <alignment horizontal="center" vertical="center" wrapText="1"/>
    </xf>
    <xf numFmtId="0" fontId="18" fillId="12" borderId="33" xfId="0" applyFont="1" applyFill="1" applyBorder="1" applyAlignment="1">
      <alignment horizontal="center" vertical="center" wrapText="1"/>
    </xf>
    <xf numFmtId="0" fontId="18" fillId="12" borderId="51" xfId="0" applyFont="1" applyFill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3" xfId="0" applyNumberFormat="1" applyBorder="1"/>
    <xf numFmtId="164" fontId="2" fillId="0" borderId="2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13" fontId="0" fillId="0" borderId="4" xfId="0" applyNumberFormat="1" applyBorder="1"/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2" xfId="0" applyNumberFormat="1" applyBorder="1"/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2" borderId="6" xfId="0" applyNumberForma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2" borderId="10" xfId="0" applyNumberForma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2" borderId="14" xfId="0" applyNumberForma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164" fontId="0" fillId="2" borderId="17" xfId="0" applyNumberFormat="1" applyFill="1" applyBorder="1" applyAlignment="1">
      <alignment horizontal="center"/>
    </xf>
    <xf numFmtId="2" fontId="0" fillId="2" borderId="18" xfId="0" applyNumberFormat="1" applyFill="1" applyBorder="1" applyAlignment="1">
      <alignment horizontal="center"/>
    </xf>
    <xf numFmtId="164" fontId="1" fillId="0" borderId="6" xfId="0" applyNumberFormat="1" applyFont="1" applyBorder="1" applyAlignment="1">
      <alignment horizontal="center"/>
    </xf>
    <xf numFmtId="164" fontId="0" fillId="0" borderId="19" xfId="0" applyNumberFormat="1" applyBorder="1" applyAlignment="1">
      <alignment horizontal="center"/>
    </xf>
    <xf numFmtId="164" fontId="1" fillId="0" borderId="20" xfId="0" applyNumberFormat="1" applyFon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1" fillId="0" borderId="22" xfId="0" applyNumberFormat="1" applyFont="1" applyBorder="1" applyAlignment="1">
      <alignment horizontal="center"/>
    </xf>
    <xf numFmtId="164" fontId="1" fillId="0" borderId="23" xfId="0" applyNumberFormat="1" applyFont="1" applyBorder="1" applyAlignment="1">
      <alignment horizontal="center"/>
    </xf>
    <xf numFmtId="164" fontId="1" fillId="0" borderId="24" xfId="0" applyNumberFormat="1" applyFon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25" xfId="0" applyNumberFormat="1" applyBorder="1"/>
    <xf numFmtId="164" fontId="0" fillId="0" borderId="26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1" fillId="0" borderId="21" xfId="0" applyNumberFormat="1" applyFont="1" applyBorder="1" applyAlignment="1">
      <alignment horizontal="center"/>
    </xf>
    <xf numFmtId="0" fontId="0" fillId="0" borderId="27" xfId="0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1" fillId="0" borderId="29" xfId="0" applyNumberFormat="1" applyFont="1" applyBorder="1" applyAlignment="1">
      <alignment horizontal="center"/>
    </xf>
    <xf numFmtId="164" fontId="1" fillId="0" borderId="30" xfId="0" applyNumberFormat="1" applyFont="1" applyBorder="1" applyAlignment="1">
      <alignment horizontal="center"/>
    </xf>
    <xf numFmtId="2" fontId="0" fillId="2" borderId="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164" fontId="0" fillId="3" borderId="33" xfId="0" applyNumberForma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4" borderId="25" xfId="0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6" xfId="0" applyBorder="1" applyAlignment="1">
      <alignment horizontal="center"/>
    </xf>
    <xf numFmtId="164" fontId="0" fillId="3" borderId="35" xfId="0" applyNumberForma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1" fillId="0" borderId="0" xfId="0" applyFont="1"/>
    <xf numFmtId="0" fontId="0" fillId="0" borderId="34" xfId="0" applyBorder="1"/>
    <xf numFmtId="0" fontId="0" fillId="0" borderId="36" xfId="0" applyBorder="1"/>
    <xf numFmtId="0" fontId="0" fillId="0" borderId="37" xfId="0" applyBorder="1"/>
    <xf numFmtId="0" fontId="0" fillId="0" borderId="18" xfId="0" applyBorder="1"/>
    <xf numFmtId="0" fontId="0" fillId="0" borderId="2" xfId="0" applyBorder="1"/>
    <xf numFmtId="0" fontId="3" fillId="6" borderId="38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4" fillId="6" borderId="34" xfId="0" applyFont="1" applyFill="1" applyBorder="1"/>
    <xf numFmtId="0" fontId="5" fillId="7" borderId="40" xfId="0" applyFont="1" applyFill="1" applyBorder="1" applyAlignment="1">
      <alignment horizontal="center" vertical="center"/>
    </xf>
    <xf numFmtId="0" fontId="6" fillId="7" borderId="34" xfId="0" applyFont="1" applyFill="1" applyBorder="1"/>
    <xf numFmtId="0" fontId="7" fillId="8" borderId="41" xfId="0" applyFont="1" applyFill="1" applyBorder="1" applyAlignment="1">
      <alignment horizontal="center" vertical="center"/>
    </xf>
    <xf numFmtId="0" fontId="8" fillId="8" borderId="34" xfId="0" applyFont="1" applyFill="1" applyBorder="1"/>
    <xf numFmtId="0" fontId="9" fillId="9" borderId="42" xfId="0" applyFont="1" applyFill="1" applyBorder="1" applyAlignment="1">
      <alignment horizontal="center" vertical="center"/>
    </xf>
    <xf numFmtId="0" fontId="9" fillId="9" borderId="43" xfId="0" applyFont="1" applyFill="1" applyBorder="1" applyAlignment="1">
      <alignment horizontal="center" vertical="center"/>
    </xf>
    <xf numFmtId="0" fontId="9" fillId="9" borderId="44" xfId="0" applyFont="1" applyFill="1" applyBorder="1" applyAlignment="1">
      <alignment horizontal="center" vertical="center"/>
    </xf>
    <xf numFmtId="0" fontId="9" fillId="9" borderId="45" xfId="0" applyFont="1" applyFill="1" applyBorder="1" applyAlignment="1">
      <alignment horizontal="center" vertical="center"/>
    </xf>
    <xf numFmtId="0" fontId="9" fillId="9" borderId="46" xfId="0" applyFont="1" applyFill="1" applyBorder="1" applyAlignment="1">
      <alignment horizontal="center" vertical="center"/>
    </xf>
    <xf numFmtId="0" fontId="10" fillId="9" borderId="34" xfId="0" applyFont="1" applyFill="1" applyBorder="1"/>
    <xf numFmtId="0" fontId="11" fillId="10" borderId="44" xfId="0" applyFont="1" applyFill="1" applyBorder="1" applyAlignment="1">
      <alignment horizontal="center" vertical="center"/>
    </xf>
    <xf numFmtId="0" fontId="11" fillId="10" borderId="45" xfId="0" applyFont="1" applyFill="1" applyBorder="1" applyAlignment="1">
      <alignment horizontal="center" vertical="center"/>
    </xf>
    <xf numFmtId="0" fontId="11" fillId="10" borderId="39" xfId="0" applyFont="1" applyFill="1" applyBorder="1" applyAlignment="1">
      <alignment horizontal="center" vertical="center"/>
    </xf>
    <xf numFmtId="0" fontId="0" fillId="0" borderId="4" xfId="0" applyBorder="1"/>
    <xf numFmtId="0" fontId="12" fillId="10" borderId="34" xfId="0" applyFont="1" applyFill="1" applyBorder="1"/>
    <xf numFmtId="0" fontId="0" fillId="0" borderId="47" xfId="0" applyBorder="1"/>
    <xf numFmtId="0" fontId="0" fillId="0" borderId="48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6" fillId="11" borderId="52" xfId="0" applyFont="1" applyFill="1" applyBorder="1" applyAlignment="1">
      <alignment horizontal="center" vertical="center" wrapText="1"/>
    </xf>
    <xf numFmtId="0" fontId="16" fillId="11" borderId="53" xfId="0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18" fillId="12" borderId="0" xfId="0" applyFont="1" applyFill="1" applyAlignment="1">
      <alignment horizontal="center" vertical="center" wrapText="1"/>
    </xf>
    <xf numFmtId="0" fontId="0" fillId="0" borderId="55" xfId="0" applyBorder="1" applyAlignment="1">
      <alignment horizontal="center" vertical="center"/>
    </xf>
    <xf numFmtId="0" fontId="20" fillId="13" borderId="0" xfId="0" applyFont="1" applyFill="1" applyAlignment="1">
      <alignment horizontal="center" vertical="center" wrapText="1"/>
    </xf>
    <xf numFmtId="0" fontId="20" fillId="13" borderId="56" xfId="0" applyFont="1" applyFill="1" applyBorder="1" applyAlignment="1">
      <alignment horizontal="center" vertical="center" wrapText="1"/>
    </xf>
    <xf numFmtId="0" fontId="16" fillId="11" borderId="0" xfId="0" applyFont="1" applyFill="1" applyAlignment="1">
      <alignment horizontal="center" vertical="center" wrapText="1"/>
    </xf>
    <xf numFmtId="0" fontId="20" fillId="13" borderId="57" xfId="0" applyFont="1" applyFill="1" applyBorder="1" applyAlignment="1">
      <alignment horizontal="center" vertical="center" wrapText="1"/>
    </xf>
    <xf numFmtId="0" fontId="18" fillId="12" borderId="25" xfId="0" applyFont="1" applyFill="1" applyBorder="1" applyAlignment="1">
      <alignment horizontal="center" vertical="center" wrapText="1"/>
    </xf>
    <xf numFmtId="0" fontId="22" fillId="14" borderId="25" xfId="0" applyFont="1" applyFill="1" applyBorder="1" applyAlignment="1">
      <alignment horizontal="center" vertical="center" wrapText="1"/>
    </xf>
    <xf numFmtId="0" fontId="22" fillId="14" borderId="55" xfId="0" applyFont="1" applyFill="1" applyBorder="1" applyAlignment="1">
      <alignment horizontal="center" vertical="center" wrapText="1"/>
    </xf>
    <xf numFmtId="0" fontId="22" fillId="14" borderId="0" xfId="0" applyFont="1" applyFill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0" fillId="16" borderId="33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60000"/>
      <rgbColor rgb="FF008000"/>
      <rgbColor rgb="FF000080"/>
      <rgbColor rgb="FF806000"/>
      <rgbColor rgb="FF800080"/>
      <rgbColor rgb="FF008080"/>
      <rgbColor rgb="FFAFABAB"/>
      <rgbColor rgb="FF6C757D"/>
      <rgbColor rgb="FF6699FF"/>
      <rgbColor rgb="FF993366"/>
      <rgbColor rgb="FFFFF2CC"/>
      <rgbColor rgb="FFDAE3F3"/>
      <rgbColor rgb="FF660066"/>
      <rgbColor rgb="FFFF7C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0B4"/>
      <rgbColor rgb="FFE2F0D9"/>
      <rgbColor rgb="FFFFD9D9"/>
      <rgbColor rgb="FF99FF99"/>
      <rgbColor rgb="FFFF99CC"/>
      <rgbColor rgb="FFCC99FF"/>
      <rgbColor rgb="FFF4B183"/>
      <rgbColor rgb="FF3366FF"/>
      <rgbColor rgb="FF33CCCC"/>
      <rgbColor rgb="FF99CC00"/>
      <rgbColor rgb="FFFFCC00"/>
      <rgbColor rgb="FFCC9900"/>
      <rgbColor rgb="FFC55A11"/>
      <rgbColor rgb="FF535353"/>
      <rgbColor rgb="FF969696"/>
      <rgbColor rgb="FF003366"/>
      <rgbColor rgb="FF548235"/>
      <rgbColor rgb="FF003300"/>
      <rgbColor rgb="FF385724"/>
      <rgbColor rgb="FF843C0B"/>
      <rgbColor rgb="FF993366"/>
      <rgbColor rgb="FF1F4E79"/>
      <rgbColor rgb="FF333F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60</xdr:row>
      <xdr:rowOff>41760</xdr:rowOff>
    </xdr:from>
    <xdr:to>
      <xdr:col>4</xdr:col>
      <xdr:colOff>401400</xdr:colOff>
      <xdr:row>76</xdr:row>
      <xdr:rowOff>12240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1300400"/>
          <a:ext cx="5639040" cy="2865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122760</xdr:colOff>
      <xdr:row>59</xdr:row>
      <xdr:rowOff>172800</xdr:rowOff>
    </xdr:from>
    <xdr:to>
      <xdr:col>8</xdr:col>
      <xdr:colOff>890640</xdr:colOff>
      <xdr:row>76</xdr:row>
      <xdr:rowOff>19800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360400" y="11241000"/>
          <a:ext cx="5337360" cy="293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60840</xdr:rowOff>
    </xdr:from>
    <xdr:to>
      <xdr:col>4</xdr:col>
      <xdr:colOff>482760</xdr:colOff>
      <xdr:row>93</xdr:row>
      <xdr:rowOff>62280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0" y="14577120"/>
          <a:ext cx="5720400" cy="2715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365760</xdr:colOff>
      <xdr:row>78</xdr:row>
      <xdr:rowOff>91440</xdr:rowOff>
    </xdr:from>
    <xdr:to>
      <xdr:col>8</xdr:col>
      <xdr:colOff>1246320</xdr:colOff>
      <xdr:row>94</xdr:row>
      <xdr:rowOff>103680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5603400" y="14607720"/>
          <a:ext cx="5450040" cy="2907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9"/>
  <sheetViews>
    <sheetView zoomScale="109" zoomScaleNormal="109" workbookViewId="0">
      <selection activeCell="D18" sqref="D18"/>
    </sheetView>
  </sheetViews>
  <sheetFormatPr defaultColWidth="18.77734375" defaultRowHeight="14.4" x14ac:dyDescent="0.3"/>
  <cols>
    <col min="1" max="1" width="22" style="6" customWidth="1"/>
    <col min="2" max="2" width="22.6640625" style="6" customWidth="1"/>
    <col min="3" max="3" width="23.5546875" style="6" customWidth="1"/>
    <col min="4" max="4" width="6" style="6" customWidth="1"/>
    <col min="5" max="5" width="18.77734375" style="6"/>
    <col min="6" max="6" width="20.109375" style="6" customWidth="1"/>
    <col min="7" max="7" width="7.109375" style="6" customWidth="1"/>
    <col min="8" max="9" width="18.77734375" style="6"/>
    <col min="10" max="10" width="28.109375" style="6" customWidth="1"/>
    <col min="11" max="11" width="27.109375" style="6" customWidth="1"/>
    <col min="12" max="1024" width="18.77734375" style="6"/>
  </cols>
  <sheetData>
    <row r="1" spans="1:10" x14ac:dyDescent="0.3">
      <c r="A1" s="7" t="s">
        <v>0</v>
      </c>
      <c r="E1" s="7" t="s">
        <v>1</v>
      </c>
      <c r="H1" s="7" t="s">
        <v>2</v>
      </c>
    </row>
    <row r="3" spans="1:10" x14ac:dyDescent="0.3">
      <c r="A3" s="8" t="s">
        <v>3</v>
      </c>
      <c r="B3" s="8" t="s">
        <v>4</v>
      </c>
      <c r="E3" s="8" t="s">
        <v>5</v>
      </c>
      <c r="F3" s="8" t="s">
        <v>6</v>
      </c>
      <c r="H3" s="8" t="s">
        <v>7</v>
      </c>
    </row>
    <row r="4" spans="1:10" x14ac:dyDescent="0.3">
      <c r="A4" s="9">
        <f>12/12</f>
        <v>1</v>
      </c>
      <c r="B4" s="9">
        <f>17/20</f>
        <v>0.85</v>
      </c>
      <c r="C4" s="6" t="s">
        <v>8</v>
      </c>
      <c r="E4" s="9">
        <f>10/10</f>
        <v>1</v>
      </c>
      <c r="F4" s="10">
        <f>7/10</f>
        <v>0.7</v>
      </c>
      <c r="H4" s="11">
        <v>12</v>
      </c>
    </row>
    <row r="5" spans="1:10" x14ac:dyDescent="0.3">
      <c r="A5" s="9">
        <f>12/12</f>
        <v>1</v>
      </c>
      <c r="B5" s="9">
        <f>18/20</f>
        <v>0.9</v>
      </c>
      <c r="C5" s="6" t="s">
        <v>9</v>
      </c>
      <c r="E5" s="9">
        <f>10/10</f>
        <v>1</v>
      </c>
      <c r="F5" s="10">
        <f>16/21</f>
        <v>0.76190476190476186</v>
      </c>
      <c r="H5" s="8" t="s">
        <v>10</v>
      </c>
    </row>
    <row r="6" spans="1:10" x14ac:dyDescent="0.3">
      <c r="A6" s="12">
        <f>8/12</f>
        <v>0.66666666666666663</v>
      </c>
      <c r="B6" s="12">
        <f>10/20</f>
        <v>0.5</v>
      </c>
      <c r="C6" s="6" t="s">
        <v>11</v>
      </c>
      <c r="E6" s="9">
        <f>9/10</f>
        <v>0.9</v>
      </c>
      <c r="F6" s="13">
        <f>23/40</f>
        <v>0.57499999999999996</v>
      </c>
      <c r="H6" s="14">
        <v>23.5</v>
      </c>
    </row>
    <row r="7" spans="1:10" x14ac:dyDescent="0.3">
      <c r="A7" s="9">
        <f>16/16</f>
        <v>1</v>
      </c>
      <c r="B7" s="9">
        <f>17.5/20</f>
        <v>0.875</v>
      </c>
      <c r="C7" s="6" t="s">
        <v>12</v>
      </c>
      <c r="E7" s="9">
        <f>8/10</f>
        <v>0.8</v>
      </c>
      <c r="F7" s="8" t="s">
        <v>13</v>
      </c>
      <c r="H7" s="8" t="s">
        <v>14</v>
      </c>
    </row>
    <row r="8" spans="1:10" x14ac:dyDescent="0.3">
      <c r="A8" s="9">
        <f>8/8</f>
        <v>1</v>
      </c>
      <c r="B8" s="9">
        <f>13/20</f>
        <v>0.65</v>
      </c>
      <c r="C8" s="6" t="s">
        <v>15</v>
      </c>
      <c r="E8" s="9">
        <f>10/10</f>
        <v>1</v>
      </c>
      <c r="F8" s="15">
        <v>0.92</v>
      </c>
      <c r="H8" s="16">
        <v>27</v>
      </c>
    </row>
    <row r="9" spans="1:10" x14ac:dyDescent="0.3">
      <c r="A9" s="8" t="s">
        <v>13</v>
      </c>
      <c r="B9" s="8" t="s">
        <v>16</v>
      </c>
      <c r="E9" s="9">
        <f>10/10</f>
        <v>1</v>
      </c>
      <c r="F9" s="8" t="s">
        <v>17</v>
      </c>
      <c r="H9" s="8" t="s">
        <v>18</v>
      </c>
      <c r="I9" s="7"/>
    </row>
    <row r="10" spans="1:10" x14ac:dyDescent="0.3">
      <c r="A10" s="9">
        <f>71.25/75</f>
        <v>0.95</v>
      </c>
      <c r="B10" s="9">
        <f>23.5/40</f>
        <v>0.58750000000000002</v>
      </c>
      <c r="C10" s="6" t="s">
        <v>19</v>
      </c>
      <c r="E10" s="9">
        <f>9.5/10</f>
        <v>0.95</v>
      </c>
      <c r="F10" s="17">
        <f>61.5/80</f>
        <v>0.76875000000000004</v>
      </c>
      <c r="H10" s="18">
        <v>15</v>
      </c>
    </row>
    <row r="11" spans="1:10" x14ac:dyDescent="0.3">
      <c r="A11" s="19" t="s">
        <v>20</v>
      </c>
      <c r="B11" s="19">
        <f>23/40</f>
        <v>0.57499999999999996</v>
      </c>
      <c r="C11" s="6" t="s">
        <v>21</v>
      </c>
      <c r="E11" s="9">
        <f>10/10</f>
        <v>1</v>
      </c>
      <c r="F11" s="20" t="s">
        <v>22</v>
      </c>
      <c r="H11" s="21" t="s">
        <v>23</v>
      </c>
      <c r="I11" s="22">
        <f>SUM(H4,H6,H8,H10)/0.98</f>
        <v>79.08163265306122</v>
      </c>
      <c r="J11" s="6" t="s">
        <v>24</v>
      </c>
    </row>
    <row r="12" spans="1:10" x14ac:dyDescent="0.3">
      <c r="A12" s="8" t="s">
        <v>25</v>
      </c>
      <c r="B12" s="23" t="s">
        <v>26</v>
      </c>
      <c r="E12" s="9">
        <f>10/10</f>
        <v>1</v>
      </c>
      <c r="F12" s="24">
        <f>10/10</f>
        <v>1</v>
      </c>
      <c r="H12" s="25" t="s">
        <v>27</v>
      </c>
      <c r="I12" s="26">
        <f>(H4+H6+H10+(35*H8/33))</f>
        <v>79.13636363636364</v>
      </c>
      <c r="J12" s="6" t="s">
        <v>28</v>
      </c>
    </row>
    <row r="13" spans="1:10" x14ac:dyDescent="0.3">
      <c r="A13" s="27">
        <f>88/125</f>
        <v>0.70399999999999996</v>
      </c>
      <c r="B13" s="28">
        <f>15/4</f>
        <v>3.75</v>
      </c>
      <c r="E13" s="29">
        <v>1</v>
      </c>
      <c r="H13" s="30" t="s">
        <v>27</v>
      </c>
      <c r="I13" s="31">
        <f>(H4+H6+H10+(H8+2))</f>
        <v>79.5</v>
      </c>
      <c r="J13" s="32" t="s">
        <v>29</v>
      </c>
    </row>
    <row r="14" spans="1:10" x14ac:dyDescent="0.3">
      <c r="A14" s="9" t="s">
        <v>30</v>
      </c>
      <c r="B14" s="33">
        <f>5/3</f>
        <v>1.6666666666666667</v>
      </c>
      <c r="E14" s="34" t="s">
        <v>31</v>
      </c>
      <c r="F14" s="35">
        <f>(E4+E5+E6+E7+E8+E9+E10+E11+E12+E13)*F12+(F5+F4)*10+F8*25+F10*45</f>
        <v>81.862797619047626</v>
      </c>
    </row>
    <row r="15" spans="1:10" x14ac:dyDescent="0.3">
      <c r="A15" s="34" t="s">
        <v>32</v>
      </c>
      <c r="B15" s="35">
        <f>(A4+A5+A7)*B14+(B4+B5+B7+B8)*B13+(B10+B11)*12.5+A10*25+A13*30</f>
        <v>76.682500000000005</v>
      </c>
    </row>
    <row r="18" spans="1:8" x14ac:dyDescent="0.3">
      <c r="A18" s="7" t="s">
        <v>33</v>
      </c>
      <c r="E18" s="7" t="s">
        <v>34</v>
      </c>
    </row>
    <row r="20" spans="1:8" x14ac:dyDescent="0.3">
      <c r="A20" s="36" t="s">
        <v>35</v>
      </c>
      <c r="B20" s="37"/>
      <c r="C20" s="8" t="s">
        <v>36</v>
      </c>
      <c r="E20" s="38" t="s">
        <v>37</v>
      </c>
      <c r="F20" s="39"/>
    </row>
    <row r="21" spans="1:8" x14ac:dyDescent="0.3">
      <c r="A21" s="40" t="s">
        <v>38</v>
      </c>
      <c r="B21" s="41" t="s">
        <v>39</v>
      </c>
      <c r="C21" s="42" t="s">
        <v>40</v>
      </c>
      <c r="E21" s="43">
        <v>16</v>
      </c>
      <c r="F21" s="44" t="s">
        <v>41</v>
      </c>
    </row>
    <row r="22" spans="1:8" x14ac:dyDescent="0.3">
      <c r="A22" s="45">
        <v>10</v>
      </c>
      <c r="B22" s="32">
        <v>10</v>
      </c>
      <c r="C22" s="9">
        <v>105</v>
      </c>
      <c r="E22" s="46">
        <v>16</v>
      </c>
      <c r="F22" s="47" t="s">
        <v>42</v>
      </c>
    </row>
    <row r="23" spans="1:8" x14ac:dyDescent="0.3">
      <c r="A23" s="48">
        <v>7.75</v>
      </c>
      <c r="B23" s="32">
        <v>10</v>
      </c>
      <c r="C23" s="9">
        <v>55</v>
      </c>
      <c r="E23" s="38" t="s">
        <v>43</v>
      </c>
      <c r="F23" s="49"/>
    </row>
    <row r="24" spans="1:8" x14ac:dyDescent="0.3">
      <c r="A24" s="48">
        <v>9.5</v>
      </c>
      <c r="B24" s="32">
        <v>10</v>
      </c>
      <c r="C24" s="9">
        <v>102</v>
      </c>
      <c r="E24" s="50">
        <v>59.5</v>
      </c>
      <c r="F24" s="51" t="s">
        <v>44</v>
      </c>
    </row>
    <row r="25" spans="1:8" x14ac:dyDescent="0.3">
      <c r="A25" s="48">
        <v>9</v>
      </c>
      <c r="B25" s="32">
        <v>10</v>
      </c>
      <c r="C25" s="9">
        <v>104</v>
      </c>
      <c r="E25" s="38" t="s">
        <v>45</v>
      </c>
      <c r="F25" s="49"/>
    </row>
    <row r="26" spans="1:8" x14ac:dyDescent="0.3">
      <c r="A26" s="48">
        <v>10</v>
      </c>
      <c r="B26" s="32">
        <v>10</v>
      </c>
      <c r="C26" s="9">
        <v>108</v>
      </c>
      <c r="E26" s="52">
        <v>91</v>
      </c>
      <c r="F26" s="51" t="s">
        <v>42</v>
      </c>
    </row>
    <row r="27" spans="1:8" x14ac:dyDescent="0.3">
      <c r="A27" s="38" t="s">
        <v>46</v>
      </c>
      <c r="B27" s="39"/>
      <c r="C27" s="19">
        <v>100</v>
      </c>
    </row>
    <row r="28" spans="1:8" x14ac:dyDescent="0.3">
      <c r="A28" s="40" t="s">
        <v>47</v>
      </c>
      <c r="B28" s="53" t="s">
        <v>48</v>
      </c>
      <c r="C28" s="54" t="s">
        <v>49</v>
      </c>
      <c r="E28" s="21" t="s">
        <v>50</v>
      </c>
      <c r="F28" s="55">
        <f>SUM(E21,E22,E24,E26)/2.37</f>
        <v>77.004219409282697</v>
      </c>
      <c r="G28" s="6" t="s">
        <v>51</v>
      </c>
    </row>
    <row r="29" spans="1:8" x14ac:dyDescent="0.3">
      <c r="A29" s="56">
        <f>6+6+2</f>
        <v>14</v>
      </c>
      <c r="B29" s="57">
        <v>4</v>
      </c>
      <c r="C29" s="58">
        <v>9.5</v>
      </c>
      <c r="E29" s="25" t="s">
        <v>52</v>
      </c>
      <c r="F29" s="26">
        <f>(E21+E22+E24+(E26/117)*120)/2.4</f>
        <v>77.013888888888886</v>
      </c>
      <c r="G29" s="6" t="s">
        <v>53</v>
      </c>
    </row>
    <row r="30" spans="1:8" x14ac:dyDescent="0.3">
      <c r="A30" s="48">
        <f>6+6+2</f>
        <v>14</v>
      </c>
      <c r="B30" s="59">
        <v>4</v>
      </c>
      <c r="C30" s="8" t="s">
        <v>54</v>
      </c>
      <c r="E30" s="60" t="s">
        <v>52</v>
      </c>
      <c r="F30" s="31">
        <f>(E21+E22+E24+(E26+3))/2.4</f>
        <v>77.291666666666671</v>
      </c>
      <c r="G30" s="6" t="s">
        <v>55</v>
      </c>
      <c r="H30" s="61"/>
    </row>
    <row r="31" spans="1:8" x14ac:dyDescent="0.3">
      <c r="A31" s="48">
        <f>6+5.5+2</f>
        <v>13.5</v>
      </c>
      <c r="B31" s="59">
        <v>5</v>
      </c>
      <c r="C31" s="16">
        <v>24</v>
      </c>
    </row>
    <row r="32" spans="1:8" x14ac:dyDescent="0.3">
      <c r="A32" s="62">
        <f>6+6+2</f>
        <v>14</v>
      </c>
      <c r="B32" s="59">
        <v>5</v>
      </c>
      <c r="C32" s="63" t="s">
        <v>56</v>
      </c>
    </row>
    <row r="33" spans="1:3" x14ac:dyDescent="0.3">
      <c r="A33" s="48">
        <f>6+6+2</f>
        <v>14</v>
      </c>
      <c r="B33" s="59">
        <v>5</v>
      </c>
      <c r="C33" s="64">
        <f>(A22+B22+A23+B23+A24+B24+A25+B25+A26+B26)/4</f>
        <v>24.0625</v>
      </c>
    </row>
    <row r="34" spans="1:3" x14ac:dyDescent="0.3">
      <c r="A34" s="65">
        <f>5+6+2</f>
        <v>13</v>
      </c>
      <c r="B34" s="66">
        <v>5</v>
      </c>
      <c r="C34" s="10">
        <f>((C22+C23+C24+C25+C26+C27)*20)/600</f>
        <v>19.133333333333333</v>
      </c>
    </row>
    <row r="35" spans="1:3" x14ac:dyDescent="0.3">
      <c r="A35" s="34" t="s">
        <v>57</v>
      </c>
      <c r="B35" s="67">
        <f>(C33+C34+C35+C29+C31)</f>
        <v>95.112499999999997</v>
      </c>
      <c r="C35" s="16">
        <f>(A29+B29+A30+B30+A31+B31+A32+B32+A33+B33+A34+B34)/6</f>
        <v>18.416666666666668</v>
      </c>
    </row>
    <row r="38" spans="1:3" x14ac:dyDescent="0.3">
      <c r="A38" s="68" t="s">
        <v>58</v>
      </c>
    </row>
    <row r="47" spans="1:3" s="69" customFormat="1" x14ac:dyDescent="0.3"/>
    <row r="51" spans="1:4" x14ac:dyDescent="0.3">
      <c r="B51" s="70" t="s">
        <v>59</v>
      </c>
    </row>
    <row r="52" spans="1:4" x14ac:dyDescent="0.3">
      <c r="A52" s="71" t="s">
        <v>60</v>
      </c>
      <c r="B52" s="72" t="s">
        <v>61</v>
      </c>
      <c r="C52" s="73" t="s">
        <v>62</v>
      </c>
      <c r="D52" s="74" t="s">
        <v>63</v>
      </c>
    </row>
    <row r="53" spans="1:4" x14ac:dyDescent="0.3">
      <c r="A53" s="75" t="s">
        <v>64</v>
      </c>
      <c r="B53" s="76" t="s">
        <v>0</v>
      </c>
      <c r="C53" s="77" t="s">
        <v>0</v>
      </c>
      <c r="D53" s="78" t="s">
        <v>0</v>
      </c>
    </row>
    <row r="54" spans="1:4" x14ac:dyDescent="0.3">
      <c r="A54" s="75" t="s">
        <v>65</v>
      </c>
      <c r="B54" s="79" t="s">
        <v>1</v>
      </c>
      <c r="C54" s="80" t="s">
        <v>1</v>
      </c>
      <c r="D54" s="81" t="s">
        <v>2</v>
      </c>
    </row>
    <row r="55" spans="1:4" x14ac:dyDescent="0.3">
      <c r="A55" s="75" t="s">
        <v>66</v>
      </c>
      <c r="B55" s="82" t="s">
        <v>2</v>
      </c>
      <c r="C55" s="83" t="s">
        <v>34</v>
      </c>
      <c r="D55" s="84" t="s">
        <v>34</v>
      </c>
    </row>
    <row r="56" spans="1:4" x14ac:dyDescent="0.3">
      <c r="A56" s="75" t="s">
        <v>67</v>
      </c>
      <c r="B56" s="85" t="s">
        <v>34</v>
      </c>
      <c r="C56" s="86" t="s">
        <v>34</v>
      </c>
      <c r="D56" s="84" t="s">
        <v>34</v>
      </c>
    </row>
    <row r="57" spans="1:4" x14ac:dyDescent="0.3">
      <c r="A57" s="75" t="s">
        <v>68</v>
      </c>
      <c r="B57" s="85" t="s">
        <v>34</v>
      </c>
      <c r="C57" s="87" t="s">
        <v>34</v>
      </c>
      <c r="D57" s="88" t="s">
        <v>34</v>
      </c>
    </row>
    <row r="58" spans="1:4" x14ac:dyDescent="0.3">
      <c r="A58" s="75" t="s">
        <v>69</v>
      </c>
      <c r="B58" s="89" t="s">
        <v>33</v>
      </c>
      <c r="C58" s="90" t="s">
        <v>33</v>
      </c>
      <c r="D58" s="91" t="s">
        <v>33</v>
      </c>
    </row>
    <row r="59" spans="1:4" x14ac:dyDescent="0.3">
      <c r="A59" s="92" t="s">
        <v>70</v>
      </c>
      <c r="B59" s="93" t="s">
        <v>33</v>
      </c>
      <c r="C59" s="94"/>
      <c r="D59" s="95"/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28"/>
  <sheetViews>
    <sheetView tabSelected="1" zoomScale="110" zoomScaleNormal="110" workbookViewId="0">
      <selection activeCell="A7" sqref="A7"/>
    </sheetView>
  </sheetViews>
  <sheetFormatPr defaultColWidth="19.6640625" defaultRowHeight="14.4" x14ac:dyDescent="0.3"/>
  <cols>
    <col min="1" max="1024" width="19.6640625" style="96"/>
  </cols>
  <sheetData>
    <row r="1" spans="1:6" ht="21" customHeight="1" x14ac:dyDescent="0.3">
      <c r="A1" s="97" t="s">
        <v>71</v>
      </c>
    </row>
    <row r="3" spans="1:6" ht="21" customHeight="1" x14ac:dyDescent="0.3">
      <c r="A3" s="98" t="s">
        <v>72</v>
      </c>
      <c r="B3" s="99"/>
    </row>
    <row r="4" spans="1:6" ht="21" customHeight="1" x14ac:dyDescent="0.3">
      <c r="A4" s="100">
        <f>6/6</f>
        <v>1</v>
      </c>
    </row>
    <row r="5" spans="1:6" ht="21" customHeight="1" x14ac:dyDescent="0.3">
      <c r="A5" s="100">
        <f>5/6</f>
        <v>0.83333333333333337</v>
      </c>
    </row>
    <row r="6" spans="1:6" ht="21" customHeight="1" x14ac:dyDescent="0.3">
      <c r="A6" s="100">
        <f>6/6</f>
        <v>1</v>
      </c>
    </row>
    <row r="7" spans="1:6" ht="21" customHeight="1" x14ac:dyDescent="0.3">
      <c r="A7" s="100"/>
    </row>
    <row r="8" spans="1:6" ht="21" customHeight="1" x14ac:dyDescent="0.3">
      <c r="A8" s="100"/>
    </row>
    <row r="9" spans="1:6" ht="21" customHeight="1" x14ac:dyDescent="0.3">
      <c r="A9" s="100"/>
    </row>
    <row r="10" spans="1:6" ht="21" customHeight="1" x14ac:dyDescent="0.3">
      <c r="A10" s="100"/>
    </row>
    <row r="11" spans="1:6" ht="21" customHeight="1" x14ac:dyDescent="0.3">
      <c r="A11" s="100"/>
    </row>
    <row r="12" spans="1:6" ht="21" customHeight="1" x14ac:dyDescent="0.3">
      <c r="A12" s="100"/>
    </row>
    <row r="13" spans="1:6" ht="21" customHeight="1" x14ac:dyDescent="0.3">
      <c r="A13" s="101"/>
    </row>
    <row r="16" spans="1:6" ht="21" customHeight="1" x14ac:dyDescent="0.3">
      <c r="A16" s="97" t="s">
        <v>73</v>
      </c>
      <c r="F16" s="97" t="s">
        <v>74</v>
      </c>
    </row>
    <row r="18" spans="1:6" ht="21" customHeight="1" x14ac:dyDescent="0.3">
      <c r="A18" s="5" t="s">
        <v>75</v>
      </c>
      <c r="B18" s="5"/>
      <c r="C18" s="5"/>
      <c r="D18" s="102" t="s">
        <v>76</v>
      </c>
      <c r="F18" s="98" t="s">
        <v>77</v>
      </c>
    </row>
    <row r="19" spans="1:6" ht="21" customHeight="1" x14ac:dyDescent="0.3">
      <c r="A19" s="103" t="s">
        <v>78</v>
      </c>
      <c r="B19" s="104" t="s">
        <v>79</v>
      </c>
      <c r="C19" s="105" t="s">
        <v>80</v>
      </c>
      <c r="D19" s="100"/>
      <c r="F19" s="100">
        <f>5/10</f>
        <v>0.5</v>
      </c>
    </row>
    <row r="20" spans="1:6" ht="21" customHeight="1" x14ac:dyDescent="0.3">
      <c r="A20" s="106">
        <v>4</v>
      </c>
      <c r="B20" s="96">
        <v>3.5</v>
      </c>
      <c r="C20" s="107">
        <v>2</v>
      </c>
      <c r="D20" s="100"/>
      <c r="F20" s="108">
        <f>8/10</f>
        <v>0.8</v>
      </c>
    </row>
    <row r="21" spans="1:6" ht="21" customHeight="1" x14ac:dyDescent="0.3">
      <c r="A21" s="106">
        <v>4</v>
      </c>
      <c r="B21" s="96">
        <v>3.5</v>
      </c>
      <c r="C21" s="132">
        <v>1.5</v>
      </c>
      <c r="D21" s="100"/>
      <c r="F21" s="100"/>
    </row>
    <row r="22" spans="1:6" ht="21" customHeight="1" x14ac:dyDescent="0.3">
      <c r="A22" s="106">
        <v>3.5</v>
      </c>
      <c r="B22" s="96">
        <v>4</v>
      </c>
      <c r="C22" s="131">
        <v>2</v>
      </c>
      <c r="D22" s="100"/>
      <c r="F22" s="100"/>
    </row>
    <row r="23" spans="1:6" ht="21" customHeight="1" x14ac:dyDescent="0.3">
      <c r="A23" s="106"/>
      <c r="C23" s="107"/>
      <c r="D23" s="100"/>
      <c r="F23" s="100"/>
    </row>
    <row r="24" spans="1:6" ht="21" customHeight="1" x14ac:dyDescent="0.3">
      <c r="A24" s="106"/>
      <c r="C24" s="107"/>
      <c r="D24" s="100"/>
      <c r="F24" s="100"/>
    </row>
    <row r="25" spans="1:6" ht="21" customHeight="1" x14ac:dyDescent="0.3">
      <c r="A25" s="109"/>
      <c r="B25" s="110"/>
      <c r="C25" s="111"/>
      <c r="D25" s="101"/>
      <c r="F25" s="100"/>
    </row>
    <row r="26" spans="1:6" ht="21" customHeight="1" x14ac:dyDescent="0.3">
      <c r="D26" s="112" t="s">
        <v>81</v>
      </c>
      <c r="F26" s="100"/>
    </row>
    <row r="27" spans="1:6" ht="21" customHeight="1" x14ac:dyDescent="0.3">
      <c r="D27" s="113">
        <v>5</v>
      </c>
      <c r="F27" s="100"/>
    </row>
    <row r="28" spans="1:6" ht="21" customHeight="1" x14ac:dyDescent="0.3">
      <c r="F28" s="101"/>
    </row>
  </sheetData>
  <mergeCells count="1">
    <mergeCell ref="A18:C1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13"/>
  <sheetViews>
    <sheetView topLeftCell="A22" zoomScale="107" zoomScaleNormal="107" workbookViewId="0">
      <selection activeCell="A16" sqref="A16"/>
    </sheetView>
  </sheetViews>
  <sheetFormatPr defaultColWidth="25.6640625" defaultRowHeight="14.4" x14ac:dyDescent="0.3"/>
  <cols>
    <col min="1" max="1024" width="25.6640625" style="96"/>
  </cols>
  <sheetData>
    <row r="1" spans="1:6" ht="12" customHeight="1" x14ac:dyDescent="0.3"/>
    <row r="2" spans="1:6" s="115" customFormat="1" ht="26.25" customHeight="1" x14ac:dyDescent="0.3">
      <c r="A2" s="114"/>
      <c r="B2" s="114" t="s">
        <v>82</v>
      </c>
      <c r="C2" s="114" t="s">
        <v>83</v>
      </c>
      <c r="D2" s="114" t="s">
        <v>84</v>
      </c>
      <c r="E2" s="114" t="s">
        <v>85</v>
      </c>
      <c r="F2" s="114" t="s">
        <v>86</v>
      </c>
    </row>
    <row r="3" spans="1:6" ht="42.75" customHeight="1" x14ac:dyDescent="0.3">
      <c r="A3" s="116" t="s">
        <v>87</v>
      </c>
      <c r="B3" s="117" t="s">
        <v>88</v>
      </c>
      <c r="D3" s="118" t="s">
        <v>88</v>
      </c>
      <c r="F3" s="119"/>
    </row>
    <row r="4" spans="1:6" ht="42.75" customHeight="1" x14ac:dyDescent="0.3">
      <c r="A4" s="116" t="s">
        <v>89</v>
      </c>
      <c r="B4" s="106"/>
      <c r="C4" s="120" t="s">
        <v>90</v>
      </c>
      <c r="D4" s="121"/>
      <c r="F4" s="107"/>
    </row>
    <row r="5" spans="1:6" ht="42.75" customHeight="1" x14ac:dyDescent="0.3">
      <c r="A5" s="116" t="s">
        <v>91</v>
      </c>
      <c r="B5" s="106"/>
      <c r="C5" s="122" t="s">
        <v>92</v>
      </c>
      <c r="D5" s="123" t="s">
        <v>92</v>
      </c>
      <c r="E5" s="124" t="s">
        <v>88</v>
      </c>
      <c r="F5" s="125" t="s">
        <v>92</v>
      </c>
    </row>
    <row r="6" spans="1:6" ht="42.75" customHeight="1" x14ac:dyDescent="0.3">
      <c r="A6" s="116" t="s">
        <v>93</v>
      </c>
      <c r="B6" s="126" t="s">
        <v>94</v>
      </c>
      <c r="D6" s="121"/>
      <c r="F6" s="107"/>
    </row>
    <row r="7" spans="1:6" ht="42.75" customHeight="1" x14ac:dyDescent="0.3">
      <c r="A7" s="116" t="s">
        <v>95</v>
      </c>
      <c r="B7" s="127" t="s">
        <v>96</v>
      </c>
      <c r="D7" s="128" t="s">
        <v>96</v>
      </c>
      <c r="E7" s="129" t="s">
        <v>96</v>
      </c>
      <c r="F7" s="107"/>
    </row>
    <row r="8" spans="1:6" ht="42.75" customHeight="1" x14ac:dyDescent="0.3">
      <c r="A8" s="116" t="s">
        <v>97</v>
      </c>
      <c r="B8" s="106"/>
      <c r="D8" s="121"/>
      <c r="F8" s="107"/>
    </row>
    <row r="9" spans="1:6" ht="42.75" customHeight="1" x14ac:dyDescent="0.3">
      <c r="A9" s="116" t="s">
        <v>98</v>
      </c>
      <c r="B9" s="106"/>
      <c r="C9" s="4" t="s">
        <v>99</v>
      </c>
      <c r="D9" s="121"/>
      <c r="E9" s="4" t="s">
        <v>99</v>
      </c>
      <c r="F9" s="130" t="s">
        <v>100</v>
      </c>
    </row>
    <row r="10" spans="1:6" ht="21.75" customHeight="1" x14ac:dyDescent="0.3">
      <c r="A10" s="116" t="s">
        <v>101</v>
      </c>
      <c r="B10" s="106"/>
      <c r="C10" s="4"/>
      <c r="D10" s="121"/>
      <c r="E10" s="4"/>
      <c r="F10" s="3" t="s">
        <v>90</v>
      </c>
    </row>
    <row r="11" spans="1:6" ht="22.5" customHeight="1" x14ac:dyDescent="0.3">
      <c r="A11" s="116" t="s">
        <v>102</v>
      </c>
      <c r="B11" s="2" t="s">
        <v>103</v>
      </c>
      <c r="C11" s="4"/>
      <c r="D11" s="1" t="s">
        <v>103</v>
      </c>
      <c r="E11" s="4"/>
      <c r="F11" s="3"/>
    </row>
    <row r="12" spans="1:6" ht="42.75" customHeight="1" x14ac:dyDescent="0.3">
      <c r="A12" s="116" t="s">
        <v>104</v>
      </c>
      <c r="B12" s="2"/>
      <c r="C12" s="4"/>
      <c r="D12" s="1"/>
      <c r="E12" s="4"/>
      <c r="F12" s="111"/>
    </row>
    <row r="13" spans="1:6" ht="42.75" customHeight="1" x14ac:dyDescent="0.3">
      <c r="B13" s="96" t="s">
        <v>105</v>
      </c>
      <c r="C13" s="96" t="s">
        <v>106</v>
      </c>
      <c r="D13" s="96" t="s">
        <v>107</v>
      </c>
      <c r="E13" s="96" t="s">
        <v>106</v>
      </c>
      <c r="F13" s="96" t="s">
        <v>108</v>
      </c>
    </row>
  </sheetData>
  <mergeCells count="5">
    <mergeCell ref="C9:C12"/>
    <mergeCell ref="E9:E12"/>
    <mergeCell ref="F10:F11"/>
    <mergeCell ref="B11:B12"/>
    <mergeCell ref="D11:D1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5th Sem Marks</vt:lpstr>
      <vt:lpstr>6th Sem Marks</vt:lpstr>
      <vt:lpstr>6th Sem Time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Ronit Kumar</dc:creator>
  <dc:description/>
  <cp:lastModifiedBy>Ronit Kumar</cp:lastModifiedBy>
  <cp:revision>1</cp:revision>
  <dcterms:created xsi:type="dcterms:W3CDTF">2026-01-11T10:20:47Z</dcterms:created>
  <dcterms:modified xsi:type="dcterms:W3CDTF">2026-01-28T06:31:22Z</dcterms:modified>
  <dc:language>en-US</dc:language>
</cp:coreProperties>
</file>