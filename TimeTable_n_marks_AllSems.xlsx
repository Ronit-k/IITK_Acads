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K_Acads\"/>
    </mc:Choice>
  </mc:AlternateContent>
  <xr:revisionPtr revIDLastSave="0" documentId="13_ncr:1_{F8696940-4736-480B-B8D6-D03AE600B906}" xr6:coauthVersionLast="47" xr6:coauthVersionMax="47" xr10:uidLastSave="{00000000-0000-0000-0000-000000000000}"/>
  <bookViews>
    <workbookView xWindow="-108" yWindow="-108" windowWidth="23256" windowHeight="13176" activeTab="1" xr2:uid="{1BDFB028-954A-4FBF-BEA5-DA67CDBB5EF7}"/>
  </bookViews>
  <sheets>
    <sheet name="5th Sem Marks" sheetId="2" r:id="rId1"/>
    <sheet name="6th Sem Marks" sheetId="3" r:id="rId2"/>
    <sheet name="6th Sem Time Tabl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3" l="1"/>
  <c r="A4" i="2"/>
  <c r="B4" i="2"/>
  <c r="E4" i="2"/>
  <c r="F4" i="2"/>
  <c r="A5" i="2"/>
  <c r="B5" i="2"/>
  <c r="E5" i="2"/>
  <c r="F5" i="2"/>
  <c r="A6" i="2"/>
  <c r="B6" i="2"/>
  <c r="E6" i="2"/>
  <c r="F6" i="2"/>
  <c r="A7" i="2"/>
  <c r="B7" i="2"/>
  <c r="E7" i="2"/>
  <c r="F14" i="2" s="1"/>
  <c r="A8" i="2"/>
  <c r="B8" i="2"/>
  <c r="B15" i="2" s="1"/>
  <c r="E8" i="2"/>
  <c r="E9" i="2"/>
  <c r="A10" i="2"/>
  <c r="B10" i="2"/>
  <c r="E10" i="2"/>
  <c r="F10" i="2"/>
  <c r="B11" i="2"/>
  <c r="E11" i="2"/>
  <c r="I11" i="2"/>
  <c r="E12" i="2"/>
  <c r="F12" i="2"/>
  <c r="I12" i="2"/>
  <c r="A13" i="2"/>
  <c r="B13" i="2"/>
  <c r="I13" i="2"/>
  <c r="B14" i="2"/>
  <c r="F28" i="2"/>
  <c r="A29" i="2"/>
  <c r="C35" i="2" s="1"/>
  <c r="B35" i="2" s="1"/>
  <c r="F29" i="2"/>
  <c r="A30" i="2"/>
  <c r="F30" i="2"/>
  <c r="A31" i="2"/>
  <c r="A32" i="2"/>
  <c r="A33" i="2"/>
  <c r="C33" i="2"/>
  <c r="A34" i="2"/>
  <c r="C34" i="2"/>
</calcChain>
</file>

<file path=xl/sharedStrings.xml><?xml version="1.0" encoding="utf-8"?>
<sst xmlns="http://schemas.openxmlformats.org/spreadsheetml/2006/main" count="140" uniqueCount="107">
  <si>
    <t>Monday</t>
  </si>
  <si>
    <t>Tuesday</t>
  </si>
  <si>
    <t>Wednesday</t>
  </si>
  <si>
    <t>Thursday</t>
  </si>
  <si>
    <t>Friday</t>
  </si>
  <si>
    <t>08:00 - 9:00</t>
  </si>
  <si>
    <r>
      <rPr>
        <b/>
        <sz val="14"/>
        <color theme="8" tint="-0.499984740745262"/>
        <rFont val="Calibri"/>
        <family val="2"/>
        <scheme val="minor"/>
      </rPr>
      <t>EE340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8" tint="-0.499984740745262"/>
        <rFont val="Calibri"/>
        <family val="2"/>
        <scheme val="minor"/>
      </rPr>
      <t>LEC L18</t>
    </r>
  </si>
  <si>
    <t>09:00 - 10:00</t>
  </si>
  <si>
    <r>
      <rPr>
        <b/>
        <sz val="14"/>
        <color theme="7" tint="-0.499984740745262"/>
        <rFont val="Calibri"/>
        <family val="2"/>
        <scheme val="minor"/>
      </rPr>
      <t>EE381</t>
    </r>
    <r>
      <rPr>
        <sz val="11"/>
        <color theme="7" tint="-0.499984740745262"/>
        <rFont val="Calibri"/>
        <family val="2"/>
        <scheme val="minor"/>
      </rPr>
      <t xml:space="preserve">
LEC L01</t>
    </r>
  </si>
  <si>
    <t>10:00 - 11:00</t>
  </si>
  <si>
    <r>
      <rPr>
        <b/>
        <sz val="14"/>
        <color rgb="FF860000"/>
        <rFont val="Calibri"/>
        <family val="2"/>
        <scheme val="minor"/>
      </rPr>
      <t>CS253</t>
    </r>
    <r>
      <rPr>
        <sz val="11"/>
        <color rgb="FF860000"/>
        <rFont val="Calibri"/>
        <family val="2"/>
        <scheme val="minor"/>
      </rPr>
      <t xml:space="preserve">
LEC L07</t>
    </r>
  </si>
  <si>
    <t>11:00 - 12:00</t>
  </si>
  <si>
    <r>
      <rPr>
        <b/>
        <sz val="14"/>
        <color theme="7" tint="-0.499984740745262"/>
        <rFont val="Calibri"/>
        <family val="2"/>
        <scheme val="minor"/>
      </rPr>
      <t>EE381</t>
    </r>
    <r>
      <rPr>
        <sz val="11"/>
        <color theme="7" tint="-0.499984740745262"/>
        <rFont val="Calibri"/>
        <family val="2"/>
        <scheme val="minor"/>
      </rPr>
      <t xml:space="preserve">
LEC L02</t>
    </r>
  </si>
  <si>
    <t>12:00 - 13:00</t>
  </si>
  <si>
    <r>
      <rPr>
        <b/>
        <sz val="14"/>
        <color theme="9" tint="-0.499984740745262"/>
        <rFont val="Calibri"/>
        <family val="2"/>
        <scheme val="minor"/>
      </rPr>
      <t>ESO207</t>
    </r>
    <r>
      <rPr>
        <sz val="11"/>
        <color theme="9" tint="-0.499984740745262"/>
        <rFont val="Calibri"/>
        <family val="2"/>
        <scheme val="minor"/>
      </rPr>
      <t xml:space="preserve">
LEC L07</t>
    </r>
  </si>
  <si>
    <t>13:00 - 14:00</t>
  </si>
  <si>
    <t>14:00 - 15:00</t>
  </si>
  <si>
    <r>
      <rPr>
        <b/>
        <sz val="14"/>
        <color theme="7" tint="-0.499984740745262"/>
        <rFont val="Calibri"/>
        <family val="2"/>
        <scheme val="minor"/>
      </rPr>
      <t>EE381</t>
    </r>
    <r>
      <rPr>
        <sz val="11"/>
        <color theme="7" tint="-0.499984740745262"/>
        <rFont val="Calibri"/>
        <family val="2"/>
        <scheme val="minor"/>
      </rPr>
      <t xml:space="preserve">
LAB </t>
    </r>
  </si>
  <si>
    <r>
      <rPr>
        <b/>
        <sz val="14"/>
        <color theme="8" tint="-0.499984740745262"/>
        <rFont val="Calibri"/>
        <family val="2"/>
        <scheme val="minor"/>
      </rPr>
      <t>EE340</t>
    </r>
    <r>
      <rPr>
        <sz val="11"/>
        <color theme="1"/>
        <rFont val="Calibri"/>
        <family val="2"/>
        <scheme val="minor"/>
      </rPr>
      <t xml:space="preserve">
TUT</t>
    </r>
  </si>
  <si>
    <t>15:00 - 15:30</t>
  </si>
  <si>
    <t>15:30 - 16:00</t>
  </si>
  <si>
    <r>
      <rPr>
        <b/>
        <sz val="14"/>
        <color theme="5" tint="-0.499984740745262"/>
        <rFont val="Calibri"/>
        <family val="2"/>
        <scheme val="minor"/>
      </rPr>
      <t>CS633</t>
    </r>
    <r>
      <rPr>
        <sz val="11"/>
        <color theme="5" tint="-0.499984740745262"/>
        <rFont val="Calibri"/>
        <family val="2"/>
        <scheme val="minor"/>
      </rPr>
      <t xml:space="preserve">
LEC L07</t>
    </r>
  </si>
  <si>
    <t>16:00 - 17:00</t>
  </si>
  <si>
    <t>4.5hr</t>
  </si>
  <si>
    <t>5hr</t>
  </si>
  <si>
    <t>3.5hr</t>
  </si>
  <si>
    <t>2hr</t>
  </si>
  <si>
    <t>EE380</t>
  </si>
  <si>
    <t>22nd</t>
  </si>
  <si>
    <t>21st</t>
  </si>
  <si>
    <t>PHY113</t>
  </si>
  <si>
    <t>20th</t>
  </si>
  <si>
    <t>19th</t>
  </si>
  <si>
    <t>ART404</t>
  </si>
  <si>
    <t>18th</t>
  </si>
  <si>
    <t>EE320</t>
  </si>
  <si>
    <t>17th</t>
  </si>
  <si>
    <t>EE370</t>
  </si>
  <si>
    <t>16th</t>
  </si>
  <si>
    <t>6pm - 8pm</t>
  </si>
  <si>
    <t>1pm - 3pm</t>
  </si>
  <si>
    <t>8am - 10am</t>
  </si>
  <si>
    <t>Sept     \ Slot</t>
  </si>
  <si>
    <t>MID SEM</t>
  </si>
  <si>
    <t>prelab me 6 h -&gt; not sure</t>
  </si>
  <si>
    <t>Total(100%)</t>
  </si>
  <si>
    <t>Final Marks(CS,EC,EMEC)</t>
  </si>
  <si>
    <t xml:space="preserve"> +3 grace given to all</t>
  </si>
  <si>
    <t>Total (100%)(240)</t>
  </si>
  <si>
    <t>EndLabExam(25%)</t>
  </si>
  <si>
    <t>91/117 proted to 93.33/120</t>
  </si>
  <si>
    <t>% out of 237</t>
  </si>
  <si>
    <t>Total (100%)(237)</t>
  </si>
  <si>
    <t>MidSem (10%)</t>
  </si>
  <si>
    <t>Viva(6)</t>
  </si>
  <si>
    <t>Pre+Post+atndnce(6+6+2)</t>
  </si>
  <si>
    <t>EMEC Lab(20%)</t>
  </si>
  <si>
    <t xml:space="preserve">Avg = </t>
  </si>
  <si>
    <t>EndSem (117)</t>
  </si>
  <si>
    <t>Avg = 53.83</t>
  </si>
  <si>
    <t>MidSem (80)</t>
  </si>
  <si>
    <t>Avg = 14.53</t>
  </si>
  <si>
    <t>Lab Report</t>
  </si>
  <si>
    <t>In Lab(10)</t>
  </si>
  <si>
    <t>Pre Lab(10)</t>
  </si>
  <si>
    <t xml:space="preserve">Major Quiz (40) </t>
  </si>
  <si>
    <t>EC Lab(20%)(1,2,3,5,6)</t>
  </si>
  <si>
    <t>CS Lab(25%)(1,2,3,4,5)</t>
  </si>
  <si>
    <t>Total (100%)</t>
  </si>
  <si>
    <t>Toatal (100%)</t>
  </si>
  <si>
    <t>mean = 64.6</t>
  </si>
  <si>
    <t xml:space="preserve"> +2 grace given to all</t>
  </si>
  <si>
    <t>Total (100%)(100)</t>
  </si>
  <si>
    <t>27/33 prorated to 28.63/35</t>
  </si>
  <si>
    <t>weightage(1mini, 2sup)</t>
  </si>
  <si>
    <t>EndSem (30%)</t>
  </si>
  <si>
    <t>% out of 98</t>
  </si>
  <si>
    <t>Total (100%)(98)</t>
  </si>
  <si>
    <t>mini weightage</t>
  </si>
  <si>
    <t>mean = 18.5</t>
  </si>
  <si>
    <t>mean =56.6</t>
  </si>
  <si>
    <t>mean = 20.95</t>
  </si>
  <si>
    <t>Attendance (15%)</t>
  </si>
  <si>
    <t>EndSem (45%)</t>
  </si>
  <si>
    <t>Major Quiz (25%)</t>
  </si>
  <si>
    <t>MidSem (25%)</t>
  </si>
  <si>
    <t>mean = 11.41/20</t>
  </si>
  <si>
    <t>EndSem (33)</t>
  </si>
  <si>
    <t>mean = 12.38/20</t>
  </si>
  <si>
    <t>mean = 7.89/20</t>
  </si>
  <si>
    <t>MidSem (30%)</t>
  </si>
  <si>
    <t>mean = 11.68/20</t>
  </si>
  <si>
    <t>mean = 15.55/20</t>
  </si>
  <si>
    <t>Major Quiz (20%)</t>
  </si>
  <si>
    <t>Major Quiz (20%) N-1</t>
  </si>
  <si>
    <t>Mini Quiz (10%)</t>
  </si>
  <si>
    <t>Mini Quiz (15%) N-1</t>
  </si>
  <si>
    <t>Surpise Quiz (5%) N-1</t>
  </si>
  <si>
    <t>CS253</t>
  </si>
  <si>
    <t>Weekly Quiz (20%)</t>
  </si>
  <si>
    <t>EE381</t>
  </si>
  <si>
    <t>DCMP Lab (20%)</t>
  </si>
  <si>
    <t>Pre Lab</t>
  </si>
  <si>
    <t>In Lab</t>
  </si>
  <si>
    <t>Post Lab</t>
  </si>
  <si>
    <t>EC Lab (20%)</t>
  </si>
  <si>
    <t>Attrndance (5%)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</si>
</sst>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?/???"/>
  </numFmts>
  <fonts count="2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4"/>
      <color theme="7" tint="-0.499984740745262"/>
      <name val="Calibri"/>
      <family val="2"/>
      <scheme val="minor"/>
    </font>
    <font>
      <sz val="11"/>
      <color rgb="FF860000"/>
      <name val="Calibri"/>
      <family val="2"/>
      <scheme val="minor"/>
    </font>
    <font>
      <b/>
      <sz val="14"/>
      <color rgb="FF86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sz val="10"/>
      <color theme="5" tint="0.39997558519241921"/>
      <name val="Arial"/>
      <family val="2"/>
    </font>
    <font>
      <sz val="4"/>
      <color theme="5" tint="0.39997558519241921"/>
      <name val="Arial"/>
      <family val="2"/>
    </font>
    <font>
      <sz val="10"/>
      <color rgb="FFCC9900"/>
      <name val="Arial"/>
      <family val="2"/>
    </font>
    <font>
      <sz val="3"/>
      <color rgb="FFCC9900"/>
      <name val="Arial"/>
      <family val="2"/>
    </font>
    <font>
      <sz val="10"/>
      <color theme="6" tint="-0.499984740745262"/>
      <name val="Arial"/>
      <family val="2"/>
    </font>
    <font>
      <sz val="3"/>
      <color theme="6" tint="-0.499984740745262"/>
      <name val="Arial"/>
      <family val="2"/>
    </font>
    <font>
      <sz val="10"/>
      <color theme="3" tint="-0.249977111117893"/>
      <name val="Arial"/>
      <family val="2"/>
    </font>
    <font>
      <sz val="3"/>
      <color theme="3" tint="-0.249977111117893"/>
      <name val="Arial"/>
      <family val="2"/>
    </font>
    <font>
      <sz val="10"/>
      <color theme="5" tint="0.79998168889431442"/>
      <name val="Arial"/>
      <family val="2"/>
    </font>
    <font>
      <sz val="3"/>
      <color theme="5" tint="0.79998168889431442"/>
      <name val="Arial"/>
      <family val="2"/>
    </font>
    <font>
      <sz val="8"/>
      <color rgb="FF6C757D"/>
      <name val="Segoe UI Emoji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5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 diagonalDown="1">
      <left style="thin">
        <color auto="1"/>
      </left>
      <right style="thin">
        <color auto="1"/>
      </right>
      <top/>
      <bottom/>
      <diagonal style="thick">
        <color auto="1"/>
      </diagonal>
    </border>
    <border diagonalDown="1">
      <left style="thin">
        <color auto="1"/>
      </left>
      <right style="thick">
        <color auto="1"/>
      </right>
      <top/>
      <bottom/>
      <diagonal style="thick">
        <color auto="1"/>
      </diagonal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 diagonalUp="1" diagonalDown="1">
      <left/>
      <right style="thick">
        <color indexed="64"/>
      </right>
      <top/>
      <bottom style="thick">
        <color indexed="64"/>
      </bottom>
      <diagonal style="thin">
        <color indexed="64"/>
      </diagonal>
    </border>
    <border diagonalUp="1" diagonalDown="1">
      <left style="thick">
        <color indexed="64"/>
      </left>
      <right style="thin">
        <color indexed="64"/>
      </right>
      <top/>
      <bottom style="thick">
        <color indexed="64"/>
      </bottom>
      <diagonal style="thin">
        <color indexed="64"/>
      </diagonal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 diagonalUp="1">
      <left style="thin">
        <color indexed="64"/>
      </left>
      <right style="thick">
        <color indexed="64"/>
      </right>
      <top style="thick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ck">
        <color indexed="64"/>
      </left>
      <right style="thin">
        <color indexed="64"/>
      </right>
      <top/>
      <bottom/>
      <diagonal style="thin">
        <color indexed="64"/>
      </diagonal>
    </border>
    <border>
      <left style="thick">
        <color indexed="64"/>
      </left>
      <right style="thick">
        <color indexed="64"/>
      </right>
      <top/>
      <bottom/>
      <diagonal/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 style="thick">
        <color indexed="64"/>
      </right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ck">
        <color indexed="64"/>
      </left>
      <right style="thick">
        <color indexed="64"/>
      </right>
      <top style="thick">
        <color indexed="64"/>
      </top>
      <bottom/>
      <diagonal style="thin">
        <color indexed="64"/>
      </diagonal>
    </border>
    <border diagonalUp="1">
      <left style="thick">
        <color indexed="64"/>
      </left>
      <right style="thick">
        <color indexed="64"/>
      </right>
      <top/>
      <bottom style="thick">
        <color indexed="64"/>
      </bottom>
      <diagonal style="thin">
        <color indexed="64"/>
      </diagonal>
    </border>
    <border diagonalUp="1">
      <left style="thick">
        <color indexed="64"/>
      </left>
      <right style="thin">
        <color indexed="64"/>
      </right>
      <top style="thick">
        <color indexed="64"/>
      </top>
      <bottom/>
      <diagonal style="thin">
        <color indexed="64"/>
      </diagonal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14" xfId="0" applyBorder="1"/>
    <xf numFmtId="0" fontId="0" fillId="0" borderId="15" xfId="0" applyBorder="1"/>
    <xf numFmtId="0" fontId="15" fillId="7" borderId="1" xfId="0" applyFont="1" applyFill="1" applyBorder="1"/>
    <xf numFmtId="0" fontId="0" fillId="0" borderId="16" xfId="0" applyBorder="1"/>
    <xf numFmtId="0" fontId="16" fillId="7" borderId="17" xfId="0" applyFont="1" applyFill="1" applyBorder="1" applyAlignment="1">
      <alignment horizontal="center" vertical="center"/>
    </xf>
    <xf numFmtId="0" fontId="16" fillId="7" borderId="18" xfId="0" applyFont="1" applyFill="1" applyBorder="1" applyAlignment="1">
      <alignment horizontal="center" vertical="center"/>
    </xf>
    <xf numFmtId="0" fontId="16" fillId="7" borderId="19" xfId="0" applyFont="1" applyFill="1" applyBorder="1" applyAlignment="1">
      <alignment horizontal="center" vertical="center"/>
    </xf>
    <xf numFmtId="0" fontId="0" fillId="0" borderId="20" xfId="0" applyBorder="1"/>
    <xf numFmtId="0" fontId="17" fillId="8" borderId="1" xfId="0" applyFont="1" applyFill="1" applyBorder="1"/>
    <xf numFmtId="0" fontId="18" fillId="8" borderId="21" xfId="0" applyFont="1" applyFill="1" applyBorder="1" applyAlignment="1">
      <alignment horizontal="center" vertical="center"/>
    </xf>
    <xf numFmtId="0" fontId="18" fillId="8" borderId="19" xfId="0" applyFont="1" applyFill="1" applyBorder="1" applyAlignment="1">
      <alignment horizontal="center" vertical="center"/>
    </xf>
    <xf numFmtId="0" fontId="18" fillId="8" borderId="22" xfId="0" applyFont="1" applyFill="1" applyBorder="1" applyAlignment="1">
      <alignment horizontal="center" vertical="center"/>
    </xf>
    <xf numFmtId="0" fontId="18" fillId="8" borderId="18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19" fillId="9" borderId="1" xfId="0" applyFont="1" applyFill="1" applyBorder="1"/>
    <xf numFmtId="0" fontId="20" fillId="9" borderId="24" xfId="0" applyFont="1" applyFill="1" applyBorder="1" applyAlignment="1">
      <alignment horizontal="center" vertical="center"/>
    </xf>
    <xf numFmtId="0" fontId="21" fillId="10" borderId="1" xfId="0" applyFont="1" applyFill="1" applyBorder="1"/>
    <xf numFmtId="0" fontId="22" fillId="10" borderId="25" xfId="0" applyFont="1" applyFill="1" applyBorder="1" applyAlignment="1">
      <alignment horizontal="center" vertical="center"/>
    </xf>
    <xf numFmtId="0" fontId="23" fillId="11" borderId="1" xfId="0" applyFont="1" applyFill="1" applyBorder="1"/>
    <xf numFmtId="0" fontId="24" fillId="11" borderId="17" xfId="0" applyFont="1" applyFill="1" applyBorder="1" applyAlignment="1">
      <alignment horizontal="center" vertical="center"/>
    </xf>
    <xf numFmtId="0" fontId="24" fillId="11" borderId="26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1" xfId="0" applyBorder="1"/>
    <xf numFmtId="0" fontId="2" fillId="0" borderId="0" xfId="0" applyFont="1"/>
    <xf numFmtId="164" fontId="0" fillId="12" borderId="0" xfId="0" applyNumberFormat="1" applyFill="1" applyAlignment="1">
      <alignment horizontal="center"/>
    </xf>
    <xf numFmtId="164" fontId="0" fillId="13" borderId="0" xfId="0" applyNumberFormat="1" applyFill="1" applyAlignment="1">
      <alignment horizontal="center"/>
    </xf>
    <xf numFmtId="0" fontId="0" fillId="0" borderId="30" xfId="0" applyBorder="1" applyAlignment="1">
      <alignment horizontal="center"/>
    </xf>
    <xf numFmtId="0" fontId="0" fillId="14" borderId="27" xfId="0" applyFill="1" applyBorder="1" applyAlignment="1">
      <alignment horizontal="center"/>
    </xf>
    <xf numFmtId="164" fontId="0" fillId="14" borderId="31" xfId="0" applyNumberFormat="1" applyFill="1" applyBorder="1" applyAlignment="1">
      <alignment horizontal="center"/>
    </xf>
    <xf numFmtId="0" fontId="0" fillId="0" borderId="20" xfId="0" applyBorder="1" applyAlignment="1">
      <alignment horizontal="center"/>
    </xf>
    <xf numFmtId="164" fontId="0" fillId="15" borderId="13" xfId="0" applyNumberForma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2" xfId="0" applyBorder="1" applyAlignment="1">
      <alignment horizontal="center"/>
    </xf>
    <xf numFmtId="164" fontId="0" fillId="15" borderId="7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13" borderId="5" xfId="0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14" borderId="33" xfId="0" applyFill="1" applyBorder="1" applyAlignment="1">
      <alignment horizontal="center"/>
    </xf>
    <xf numFmtId="0" fontId="0" fillId="14" borderId="34" xfId="0" applyFill="1" applyBorder="1" applyAlignment="1">
      <alignment horizontal="center"/>
    </xf>
    <xf numFmtId="164" fontId="2" fillId="0" borderId="32" xfId="0" applyNumberFormat="1" applyFont="1" applyBorder="1" applyAlignment="1">
      <alignment horizontal="center"/>
    </xf>
    <xf numFmtId="0" fontId="0" fillId="14" borderId="35" xfId="0" applyFill="1" applyBorder="1" applyAlignment="1">
      <alignment horizontal="center"/>
    </xf>
    <xf numFmtId="164" fontId="0" fillId="14" borderId="36" xfId="0" applyNumberFormat="1" applyFill="1" applyBorder="1" applyAlignment="1">
      <alignment horizontal="center"/>
    </xf>
    <xf numFmtId="0" fontId="0" fillId="0" borderId="37" xfId="0" applyBorder="1" applyAlignment="1">
      <alignment horizontal="center"/>
    </xf>
    <xf numFmtId="164" fontId="0" fillId="15" borderId="38" xfId="0" applyNumberFormat="1" applyFill="1" applyBorder="1" applyAlignment="1">
      <alignment horizontal="center"/>
    </xf>
    <xf numFmtId="0" fontId="0" fillId="0" borderId="39" xfId="0" applyBorder="1" applyAlignment="1">
      <alignment horizontal="center"/>
    </xf>
    <xf numFmtId="2" fontId="0" fillId="14" borderId="40" xfId="0" applyNumberFormat="1" applyFill="1" applyBorder="1" applyAlignment="1">
      <alignment horizontal="center"/>
    </xf>
    <xf numFmtId="164" fontId="0" fillId="14" borderId="41" xfId="0" applyNumberFormat="1" applyFill="1" applyBorder="1" applyAlignment="1">
      <alignment horizontal="center"/>
    </xf>
    <xf numFmtId="164" fontId="2" fillId="0" borderId="42" xfId="0" applyNumberFormat="1" applyFont="1" applyBorder="1" applyAlignment="1">
      <alignment horizontal="center"/>
    </xf>
    <xf numFmtId="164" fontId="2" fillId="0" borderId="43" xfId="0" applyNumberFormat="1" applyFont="1" applyBorder="1" applyAlignment="1">
      <alignment horizontal="center"/>
    </xf>
    <xf numFmtId="164" fontId="2" fillId="0" borderId="44" xfId="0" applyNumberFormat="1" applyFon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164" fontId="2" fillId="0" borderId="46" xfId="0" applyNumberFormat="1" applyFont="1" applyBorder="1" applyAlignment="1">
      <alignment horizontal="center"/>
    </xf>
    <xf numFmtId="164" fontId="0" fillId="0" borderId="37" xfId="0" applyNumberFormat="1" applyBorder="1" applyAlignment="1">
      <alignment horizontal="center"/>
    </xf>
    <xf numFmtId="164" fontId="0" fillId="0" borderId="47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2" fillId="0" borderId="45" xfId="0" applyNumberFormat="1" applyFont="1" applyBorder="1" applyAlignment="1">
      <alignment horizontal="center"/>
    </xf>
    <xf numFmtId="0" fontId="0" fillId="0" borderId="47" xfId="0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5" xfId="0" applyNumberFormat="1" applyBorder="1"/>
    <xf numFmtId="164" fontId="0" fillId="0" borderId="3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2" fillId="0" borderId="48" xfId="0" applyNumberFormat="1" applyFont="1" applyBorder="1" applyAlignment="1">
      <alignment horizontal="center"/>
    </xf>
    <xf numFmtId="164" fontId="2" fillId="0" borderId="49" xfId="0" applyNumberFormat="1" applyFont="1" applyBorder="1" applyAlignment="1">
      <alignment horizontal="center"/>
    </xf>
    <xf numFmtId="164" fontId="0" fillId="0" borderId="50" xfId="0" applyNumberFormat="1" applyBorder="1" applyAlignment="1">
      <alignment horizontal="center"/>
    </xf>
    <xf numFmtId="164" fontId="2" fillId="0" borderId="4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2" fontId="0" fillId="14" borderId="27" xfId="0" applyNumberFormat="1" applyFill="1" applyBorder="1" applyAlignment="1">
      <alignment horizontal="center"/>
    </xf>
    <xf numFmtId="0" fontId="0" fillId="0" borderId="51" xfId="0" applyBorder="1" applyAlignment="1">
      <alignment horizontal="center"/>
    </xf>
    <xf numFmtId="164" fontId="0" fillId="14" borderId="34" xfId="0" applyNumberFormat="1" applyFill="1" applyBorder="1" applyAlignment="1">
      <alignment horizontal="center"/>
    </xf>
    <xf numFmtId="164" fontId="0" fillId="15" borderId="20" xfId="0" applyNumberFormat="1" applyFill="1" applyBorder="1" applyAlignment="1">
      <alignment horizontal="center"/>
    </xf>
    <xf numFmtId="0" fontId="0" fillId="0" borderId="52" xfId="0" applyBorder="1" applyAlignment="1">
      <alignment horizontal="center"/>
    </xf>
    <xf numFmtId="164" fontId="0" fillId="0" borderId="53" xfId="0" applyNumberFormat="1" applyBorder="1" applyAlignment="1">
      <alignment horizontal="center"/>
    </xf>
    <xf numFmtId="0" fontId="0" fillId="0" borderId="54" xfId="0" applyBorder="1" applyAlignment="1">
      <alignment horizontal="center"/>
    </xf>
    <xf numFmtId="164" fontId="0" fillId="0" borderId="55" xfId="0" applyNumberFormat="1" applyBorder="1" applyAlignment="1">
      <alignment horizontal="center"/>
    </xf>
    <xf numFmtId="0" fontId="0" fillId="14" borderId="40" xfId="0" applyFill="1" applyBorder="1" applyAlignment="1">
      <alignment horizontal="center"/>
    </xf>
    <xf numFmtId="164" fontId="0" fillId="0" borderId="56" xfId="0" applyNumberFormat="1" applyBorder="1" applyAlignment="1">
      <alignment horizontal="center"/>
    </xf>
    <xf numFmtId="164" fontId="0" fillId="0" borderId="20" xfId="0" applyNumberFormat="1" applyBorder="1"/>
    <xf numFmtId="164" fontId="0" fillId="0" borderId="30" xfId="0" applyNumberFormat="1" applyBorder="1" applyAlignment="1">
      <alignment horizontal="center"/>
    </xf>
    <xf numFmtId="13" fontId="0" fillId="0" borderId="16" xfId="0" applyNumberFormat="1" applyBorder="1"/>
    <xf numFmtId="0" fontId="0" fillId="0" borderId="30" xfId="0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164" fontId="1" fillId="0" borderId="20" xfId="0" applyNumberFormat="1" applyFont="1" applyBorder="1" applyAlignment="1">
      <alignment horizontal="center"/>
    </xf>
    <xf numFmtId="164" fontId="0" fillId="0" borderId="30" xfId="0" applyNumberFormat="1" applyBorder="1"/>
    <xf numFmtId="0" fontId="2" fillId="0" borderId="0" xfId="0" applyFont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60</xdr:row>
      <xdr:rowOff>41868</xdr:rowOff>
    </xdr:from>
    <xdr:ext cx="5639282" cy="2866316"/>
    <xdr:pic>
      <xdr:nvPicPr>
        <xdr:cNvPr id="2" name="Picture 1">
          <a:extLst>
            <a:ext uri="{FF2B5EF4-FFF2-40B4-BE49-F238E27FC236}">
              <a16:creationId xmlns:a16="http://schemas.microsoft.com/office/drawing/2014/main" id="{20E97DD1-94BF-4FAA-8118-58623D45E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14668"/>
          <a:ext cx="5639282" cy="2866316"/>
        </a:xfrm>
        <a:prstGeom prst="rect">
          <a:avLst/>
        </a:prstGeom>
      </xdr:spPr>
    </xdr:pic>
    <xdr:clientData/>
  </xdr:oneCellAnchor>
  <xdr:oneCellAnchor>
    <xdr:from>
      <xdr:col>4</xdr:col>
      <xdr:colOff>122698</xdr:colOff>
      <xdr:row>59</xdr:row>
      <xdr:rowOff>172930</xdr:rowOff>
    </xdr:from>
    <xdr:ext cx="5337652" cy="2933225"/>
    <xdr:pic>
      <xdr:nvPicPr>
        <xdr:cNvPr id="3" name="Picture 2">
          <a:extLst>
            <a:ext uri="{FF2B5EF4-FFF2-40B4-BE49-F238E27FC236}">
              <a16:creationId xmlns:a16="http://schemas.microsoft.com/office/drawing/2014/main" id="{A9446C1E-BC93-449D-8CD8-2DEC3B771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73818" y="10962850"/>
          <a:ext cx="5337652" cy="29332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60960</xdr:rowOff>
    </xdr:from>
    <xdr:ext cx="5720741" cy="2716064"/>
    <xdr:pic>
      <xdr:nvPicPr>
        <xdr:cNvPr id="4" name="Picture 3">
          <a:extLst>
            <a:ext uri="{FF2B5EF4-FFF2-40B4-BE49-F238E27FC236}">
              <a16:creationId xmlns:a16="http://schemas.microsoft.com/office/drawing/2014/main" id="{E9528354-4A08-4965-9A7C-9BFC6624A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325600"/>
          <a:ext cx="5720741" cy="2716064"/>
        </a:xfrm>
        <a:prstGeom prst="rect">
          <a:avLst/>
        </a:prstGeom>
      </xdr:spPr>
    </xdr:pic>
    <xdr:clientData/>
  </xdr:oneCellAnchor>
  <xdr:oneCellAnchor>
    <xdr:from>
      <xdr:col>4</xdr:col>
      <xdr:colOff>365761</xdr:colOff>
      <xdr:row>78</xdr:row>
      <xdr:rowOff>91440</xdr:rowOff>
    </xdr:from>
    <xdr:ext cx="5450327" cy="2908183"/>
    <xdr:pic>
      <xdr:nvPicPr>
        <xdr:cNvPr id="5" name="Picture 4">
          <a:extLst>
            <a:ext uri="{FF2B5EF4-FFF2-40B4-BE49-F238E27FC236}">
              <a16:creationId xmlns:a16="http://schemas.microsoft.com/office/drawing/2014/main" id="{71B1EF2D-E8D1-4E78-B937-70BC9BE1D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16881" y="14356080"/>
          <a:ext cx="5450327" cy="290818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54B0-8167-4A7D-9FA8-08496FC0DC4A}">
  <dimension ref="A1:J60"/>
  <sheetViews>
    <sheetView zoomScale="109" zoomScaleNormal="100" workbookViewId="0">
      <selection activeCell="D18" sqref="D18"/>
    </sheetView>
  </sheetViews>
  <sheetFormatPr defaultColWidth="18.77734375" defaultRowHeight="14.4" x14ac:dyDescent="0.3"/>
  <cols>
    <col min="1" max="1" width="22" style="22" customWidth="1"/>
    <col min="2" max="2" width="22.6640625" style="22" customWidth="1"/>
    <col min="3" max="3" width="23.5546875" style="22" customWidth="1"/>
    <col min="4" max="4" width="6" style="22" customWidth="1"/>
    <col min="5" max="5" width="18.77734375" style="22"/>
    <col min="6" max="6" width="20.109375" style="22" customWidth="1"/>
    <col min="7" max="7" width="7.109375" style="22" customWidth="1"/>
    <col min="8" max="9" width="18.77734375" style="22"/>
    <col min="10" max="10" width="28.109375" style="22" customWidth="1"/>
    <col min="11" max="11" width="27.109375" style="22" customWidth="1"/>
    <col min="12" max="16384" width="18.77734375" style="22"/>
  </cols>
  <sheetData>
    <row r="1" spans="1:10" x14ac:dyDescent="0.3">
      <c r="A1" s="94" t="s">
        <v>37</v>
      </c>
      <c r="E1" s="94" t="s">
        <v>35</v>
      </c>
      <c r="H1" s="94" t="s">
        <v>33</v>
      </c>
    </row>
    <row r="2" spans="1:10" ht="15" thickBot="1" x14ac:dyDescent="0.35"/>
    <row r="3" spans="1:10" ht="15" thickTop="1" x14ac:dyDescent="0.3">
      <c r="A3" s="65" t="s">
        <v>97</v>
      </c>
      <c r="B3" s="65" t="s">
        <v>96</v>
      </c>
      <c r="E3" s="65" t="s">
        <v>95</v>
      </c>
      <c r="F3" s="65" t="s">
        <v>94</v>
      </c>
      <c r="H3" s="65" t="s">
        <v>93</v>
      </c>
    </row>
    <row r="4" spans="1:10" ht="15" thickBot="1" x14ac:dyDescent="0.35">
      <c r="A4" s="81">
        <f>12/12</f>
        <v>1</v>
      </c>
      <c r="B4" s="81">
        <f>17/20</f>
        <v>0.85</v>
      </c>
      <c r="C4" s="22" t="s">
        <v>92</v>
      </c>
      <c r="E4" s="81">
        <f>10/10</f>
        <v>1</v>
      </c>
      <c r="F4" s="54">
        <f>7/10</f>
        <v>0.7</v>
      </c>
      <c r="H4" s="111">
        <v>12</v>
      </c>
    </row>
    <row r="5" spans="1:10" ht="15" thickTop="1" x14ac:dyDescent="0.3">
      <c r="A5" s="81">
        <f>12/12</f>
        <v>1</v>
      </c>
      <c r="B5" s="81">
        <f>18/20</f>
        <v>0.9</v>
      </c>
      <c r="C5" s="22" t="s">
        <v>91</v>
      </c>
      <c r="E5" s="81">
        <f>10/10</f>
        <v>1</v>
      </c>
      <c r="F5" s="54">
        <f>16/21</f>
        <v>0.76190476190476186</v>
      </c>
      <c r="H5" s="65" t="s">
        <v>90</v>
      </c>
    </row>
    <row r="6" spans="1:10" ht="15" thickBot="1" x14ac:dyDescent="0.35">
      <c r="A6" s="110">
        <f>8/12</f>
        <v>0.66666666666666663</v>
      </c>
      <c r="B6" s="110">
        <f>10/20</f>
        <v>0.5</v>
      </c>
      <c r="C6" s="22" t="s">
        <v>89</v>
      </c>
      <c r="E6" s="81">
        <f>9/10</f>
        <v>0.9</v>
      </c>
      <c r="F6" s="109">
        <f>23/40</f>
        <v>0.57499999999999996</v>
      </c>
      <c r="H6" s="108">
        <v>23.5</v>
      </c>
    </row>
    <row r="7" spans="1:10" ht="15" thickTop="1" x14ac:dyDescent="0.3">
      <c r="A7" s="81">
        <f>16/16</f>
        <v>1</v>
      </c>
      <c r="B7" s="81">
        <f>17.5/20</f>
        <v>0.875</v>
      </c>
      <c r="C7" s="22" t="s">
        <v>88</v>
      </c>
      <c r="E7" s="81">
        <f>8/10</f>
        <v>0.8</v>
      </c>
      <c r="F7" s="65" t="s">
        <v>85</v>
      </c>
      <c r="H7" s="65" t="s">
        <v>87</v>
      </c>
    </row>
    <row r="8" spans="1:10" ht="15" thickBot="1" x14ac:dyDescent="0.35">
      <c r="A8" s="81">
        <f>8/8</f>
        <v>1</v>
      </c>
      <c r="B8" s="81">
        <f>13/20</f>
        <v>0.65</v>
      </c>
      <c r="C8" s="22" t="s">
        <v>86</v>
      </c>
      <c r="E8" s="81">
        <f>10/10</f>
        <v>1</v>
      </c>
      <c r="F8" s="107">
        <v>0.92</v>
      </c>
      <c r="H8" s="51">
        <v>27</v>
      </c>
    </row>
    <row r="9" spans="1:10" ht="15" thickTop="1" x14ac:dyDescent="0.3">
      <c r="A9" s="65" t="s">
        <v>85</v>
      </c>
      <c r="B9" s="65" t="s">
        <v>84</v>
      </c>
      <c r="E9" s="81">
        <f>10/10</f>
        <v>1</v>
      </c>
      <c r="F9" s="65" t="s">
        <v>83</v>
      </c>
      <c r="H9" s="65" t="s">
        <v>82</v>
      </c>
      <c r="I9" s="94"/>
    </row>
    <row r="10" spans="1:10" ht="15" thickBot="1" x14ac:dyDescent="0.35">
      <c r="A10" s="81">
        <f>71.25/75</f>
        <v>0.95</v>
      </c>
      <c r="B10" s="81">
        <f>23.5/40</f>
        <v>0.58750000000000002</v>
      </c>
      <c r="C10" s="22" t="s">
        <v>81</v>
      </c>
      <c r="E10" s="81">
        <f>9.5/10</f>
        <v>0.95</v>
      </c>
      <c r="F10" s="106">
        <f>61.5/80</f>
        <v>0.76875000000000004</v>
      </c>
      <c r="H10" s="105">
        <v>15</v>
      </c>
    </row>
    <row r="11" spans="1:10" ht="15.6" thickTop="1" thickBot="1" x14ac:dyDescent="0.35">
      <c r="A11" s="76" t="s">
        <v>80</v>
      </c>
      <c r="B11" s="76">
        <f>23/40</f>
        <v>0.57499999999999996</v>
      </c>
      <c r="C11" s="22" t="s">
        <v>79</v>
      </c>
      <c r="E11" s="81">
        <f>10/10</f>
        <v>1</v>
      </c>
      <c r="F11" s="104" t="s">
        <v>78</v>
      </c>
      <c r="H11" s="72" t="s">
        <v>77</v>
      </c>
      <c r="I11" s="103">
        <f>SUM(H4,H6,H8,H10)/0.98</f>
        <v>79.08163265306122</v>
      </c>
      <c r="J11" s="22" t="s">
        <v>76</v>
      </c>
    </row>
    <row r="12" spans="1:10" ht="15.6" thickTop="1" thickBot="1" x14ac:dyDescent="0.35">
      <c r="A12" s="65" t="s">
        <v>75</v>
      </c>
      <c r="B12" s="102" t="s">
        <v>74</v>
      </c>
      <c r="E12" s="81">
        <f>10/10</f>
        <v>1</v>
      </c>
      <c r="F12" s="101">
        <f>10/10</f>
        <v>1</v>
      </c>
      <c r="H12" s="67" t="s">
        <v>72</v>
      </c>
      <c r="I12" s="66">
        <f>(H4+H6+H10+(35*H8/33))</f>
        <v>79.13636363636364</v>
      </c>
      <c r="J12" s="22" t="s">
        <v>73</v>
      </c>
    </row>
    <row r="13" spans="1:10" ht="15" thickBot="1" x14ac:dyDescent="0.35">
      <c r="A13" s="100">
        <f>88/125</f>
        <v>0.70399999999999996</v>
      </c>
      <c r="B13" s="99">
        <f>15/4</f>
        <v>3.75</v>
      </c>
      <c r="E13" s="98">
        <v>1</v>
      </c>
      <c r="H13" s="97" t="s">
        <v>72</v>
      </c>
      <c r="I13" s="63">
        <f>(H4+H6+H10+(H8+2))</f>
        <v>79.5</v>
      </c>
      <c r="J13" s="82" t="s">
        <v>71</v>
      </c>
    </row>
    <row r="14" spans="1:10" ht="15.6" thickTop="1" thickBot="1" x14ac:dyDescent="0.35">
      <c r="A14" s="81" t="s">
        <v>70</v>
      </c>
      <c r="B14" s="96">
        <f>5/3</f>
        <v>1.6666666666666667</v>
      </c>
      <c r="E14" s="53" t="s">
        <v>69</v>
      </c>
      <c r="F14" s="95">
        <f>(E4+E5+E6+E7+E8+E9+E10+E11+E12+E13)*F12+(F5+F4)*10+F8*25+F10*45</f>
        <v>81.862797619047626</v>
      </c>
    </row>
    <row r="15" spans="1:10" ht="15.6" thickTop="1" thickBot="1" x14ac:dyDescent="0.35">
      <c r="A15" s="53" t="s">
        <v>68</v>
      </c>
      <c r="B15" s="95">
        <f>(A4+A5+A7)*B14+(B4+B5+B7+B8)*B13+(B10+B11)*12.5+A10*25+A13*30</f>
        <v>76.682500000000005</v>
      </c>
    </row>
    <row r="16" spans="1:10" ht="15" thickTop="1" x14ac:dyDescent="0.3"/>
    <row r="18" spans="1:8" x14ac:dyDescent="0.3">
      <c r="A18" s="94" t="s">
        <v>27</v>
      </c>
      <c r="E18" s="94" t="s">
        <v>30</v>
      </c>
    </row>
    <row r="19" spans="1:8" ht="15" thickBot="1" x14ac:dyDescent="0.35"/>
    <row r="20" spans="1:8" ht="15" thickTop="1" x14ac:dyDescent="0.3">
      <c r="A20" s="93" t="s">
        <v>67</v>
      </c>
      <c r="B20" s="92"/>
      <c r="C20" s="65" t="s">
        <v>66</v>
      </c>
      <c r="E20" s="78" t="s">
        <v>65</v>
      </c>
      <c r="F20" s="77"/>
    </row>
    <row r="21" spans="1:8" x14ac:dyDescent="0.3">
      <c r="A21" s="75" t="s">
        <v>64</v>
      </c>
      <c r="B21" s="91" t="s">
        <v>63</v>
      </c>
      <c r="C21" s="90" t="s">
        <v>62</v>
      </c>
      <c r="E21" s="89">
        <v>16</v>
      </c>
      <c r="F21" s="88" t="s">
        <v>61</v>
      </c>
    </row>
    <row r="22" spans="1:8" ht="15" thickBot="1" x14ac:dyDescent="0.35">
      <c r="A22" s="87">
        <v>10</v>
      </c>
      <c r="B22" s="82">
        <v>10</v>
      </c>
      <c r="C22" s="81">
        <v>105</v>
      </c>
      <c r="E22" s="86">
        <v>16</v>
      </c>
      <c r="F22" s="85" t="s">
        <v>57</v>
      </c>
    </row>
    <row r="23" spans="1:8" ht="15" thickTop="1" x14ac:dyDescent="0.3">
      <c r="A23" s="59">
        <v>7.75</v>
      </c>
      <c r="B23" s="82">
        <v>10</v>
      </c>
      <c r="C23" s="81">
        <v>55</v>
      </c>
      <c r="E23" s="78" t="s">
        <v>60</v>
      </c>
      <c r="F23" s="83"/>
    </row>
    <row r="24" spans="1:8" ht="15" thickBot="1" x14ac:dyDescent="0.35">
      <c r="A24" s="59">
        <v>9.5</v>
      </c>
      <c r="B24" s="82">
        <v>10</v>
      </c>
      <c r="C24" s="81">
        <v>102</v>
      </c>
      <c r="E24" s="84">
        <v>59.5</v>
      </c>
      <c r="F24" s="79" t="s">
        <v>59</v>
      </c>
    </row>
    <row r="25" spans="1:8" ht="15" thickTop="1" x14ac:dyDescent="0.3">
      <c r="A25" s="59">
        <v>9</v>
      </c>
      <c r="B25" s="82">
        <v>10</v>
      </c>
      <c r="C25" s="81">
        <v>104</v>
      </c>
      <c r="E25" s="78" t="s">
        <v>58</v>
      </c>
      <c r="F25" s="83"/>
    </row>
    <row r="26" spans="1:8" ht="15" thickBot="1" x14ac:dyDescent="0.35">
      <c r="A26" s="59">
        <v>10</v>
      </c>
      <c r="B26" s="82">
        <v>10</v>
      </c>
      <c r="C26" s="81">
        <v>108</v>
      </c>
      <c r="E26" s="80">
        <v>91</v>
      </c>
      <c r="F26" s="79" t="s">
        <v>57</v>
      </c>
    </row>
    <row r="27" spans="1:8" ht="15.6" thickTop="1" thickBot="1" x14ac:dyDescent="0.35">
      <c r="A27" s="78" t="s">
        <v>56</v>
      </c>
      <c r="B27" s="77"/>
      <c r="C27" s="76">
        <v>100</v>
      </c>
    </row>
    <row r="28" spans="1:8" ht="15" thickTop="1" x14ac:dyDescent="0.3">
      <c r="A28" s="75" t="s">
        <v>55</v>
      </c>
      <c r="B28" s="74" t="s">
        <v>54</v>
      </c>
      <c r="C28" s="73" t="s">
        <v>53</v>
      </c>
      <c r="E28" s="72" t="s">
        <v>52</v>
      </c>
      <c r="F28" s="71">
        <f>SUM(E21,E22,E24,E26)/2.37</f>
        <v>77.004219409282697</v>
      </c>
      <c r="G28" s="22" t="s">
        <v>51</v>
      </c>
    </row>
    <row r="29" spans="1:8" ht="15" thickBot="1" x14ac:dyDescent="0.35">
      <c r="A29" s="70">
        <f>6+6+2</f>
        <v>14</v>
      </c>
      <c r="B29" s="69">
        <v>4</v>
      </c>
      <c r="C29" s="68">
        <v>9.5</v>
      </c>
      <c r="E29" s="67" t="s">
        <v>48</v>
      </c>
      <c r="F29" s="66">
        <f>(E21+E22+E24+(E26/117)*120)/2.4</f>
        <v>77.013888888888886</v>
      </c>
      <c r="G29" s="22" t="s">
        <v>50</v>
      </c>
    </row>
    <row r="30" spans="1:8" ht="15.6" thickTop="1" thickBot="1" x14ac:dyDescent="0.35">
      <c r="A30" s="59">
        <f>6+6+2</f>
        <v>14</v>
      </c>
      <c r="B30" s="58">
        <v>4</v>
      </c>
      <c r="C30" s="65" t="s">
        <v>49</v>
      </c>
      <c r="E30" s="64" t="s">
        <v>48</v>
      </c>
      <c r="F30" s="63">
        <f>(E21+E22+E24+(E26+3))/2.4</f>
        <v>77.291666666666671</v>
      </c>
      <c r="G30" s="22" t="s">
        <v>47</v>
      </c>
      <c r="H30" s="62"/>
    </row>
    <row r="31" spans="1:8" ht="15.6" thickTop="1" thickBot="1" x14ac:dyDescent="0.35">
      <c r="A31" s="59">
        <f>6+5.5+2</f>
        <v>13.5</v>
      </c>
      <c r="B31" s="58">
        <v>5</v>
      </c>
      <c r="C31" s="51">
        <v>24</v>
      </c>
    </row>
    <row r="32" spans="1:8" ht="15.6" thickTop="1" thickBot="1" x14ac:dyDescent="0.35">
      <c r="A32" s="61">
        <f>6+6+2</f>
        <v>14</v>
      </c>
      <c r="B32" s="58">
        <v>5</v>
      </c>
      <c r="C32" s="60" t="s">
        <v>46</v>
      </c>
    </row>
    <row r="33" spans="1:3" ht="15" thickTop="1" x14ac:dyDescent="0.3">
      <c r="A33" s="59">
        <f>6+6+2</f>
        <v>14</v>
      </c>
      <c r="B33" s="58">
        <v>5</v>
      </c>
      <c r="C33" s="57">
        <f>(A22+B22+A23+B23+A24+B24+A25+B25+A26+B26)/4</f>
        <v>24.0625</v>
      </c>
    </row>
    <row r="34" spans="1:3" ht="15" thickBot="1" x14ac:dyDescent="0.35">
      <c r="A34" s="56">
        <f>5+6+2</f>
        <v>13</v>
      </c>
      <c r="B34" s="55">
        <v>5</v>
      </c>
      <c r="C34" s="54">
        <f>((C22+C23+C24+C25+C26+C27)*20)/600</f>
        <v>19.133333333333333</v>
      </c>
    </row>
    <row r="35" spans="1:3" ht="15.6" thickTop="1" thickBot="1" x14ac:dyDescent="0.35">
      <c r="A35" s="53" t="s">
        <v>45</v>
      </c>
      <c r="B35" s="52">
        <f>(C33+C34+C35+C29+C31)</f>
        <v>95.112499999999997</v>
      </c>
      <c r="C35" s="51">
        <f>(A29+B29+A30+B30+A31+B31+A32+B32+A33+B33+A34+B34)/6</f>
        <v>18.416666666666668</v>
      </c>
    </row>
    <row r="36" spans="1:3" ht="15" thickTop="1" x14ac:dyDescent="0.3"/>
    <row r="38" spans="1:3" x14ac:dyDescent="0.3">
      <c r="A38" s="50" t="s">
        <v>44</v>
      </c>
    </row>
    <row r="47" spans="1:3" s="49" customFormat="1" x14ac:dyDescent="0.3"/>
    <row r="51" spans="1:4" ht="15" thickBot="1" x14ac:dyDescent="0.35">
      <c r="A51"/>
      <c r="B51" s="48" t="s">
        <v>43</v>
      </c>
      <c r="C51"/>
      <c r="D51"/>
    </row>
    <row r="52" spans="1:4" ht="15.6" thickTop="1" thickBot="1" x14ac:dyDescent="0.35">
      <c r="A52" s="47" t="s">
        <v>42</v>
      </c>
      <c r="B52" s="46" t="s">
        <v>41</v>
      </c>
      <c r="C52" s="45" t="s">
        <v>40</v>
      </c>
      <c r="D52" s="44" t="s">
        <v>39</v>
      </c>
    </row>
    <row r="53" spans="1:4" ht="15.6" thickTop="1" thickBot="1" x14ac:dyDescent="0.35">
      <c r="A53" s="30" t="s">
        <v>38</v>
      </c>
      <c r="B53" s="43" t="s">
        <v>37</v>
      </c>
      <c r="C53" s="42" t="s">
        <v>37</v>
      </c>
      <c r="D53" s="41" t="s">
        <v>37</v>
      </c>
    </row>
    <row r="54" spans="1:4" ht="15.6" thickTop="1" thickBot="1" x14ac:dyDescent="0.35">
      <c r="A54" s="30" t="s">
        <v>36</v>
      </c>
      <c r="B54" s="40" t="s">
        <v>35</v>
      </c>
      <c r="C54" s="39" t="s">
        <v>35</v>
      </c>
      <c r="D54" s="38" t="s">
        <v>33</v>
      </c>
    </row>
    <row r="55" spans="1:4" ht="15.6" thickTop="1" thickBot="1" x14ac:dyDescent="0.35">
      <c r="A55" s="30" t="s">
        <v>34</v>
      </c>
      <c r="B55" s="37" t="s">
        <v>33</v>
      </c>
      <c r="C55" s="36" t="s">
        <v>30</v>
      </c>
      <c r="D55" s="34" t="s">
        <v>30</v>
      </c>
    </row>
    <row r="56" spans="1:4" ht="15.6" thickTop="1" thickBot="1" x14ac:dyDescent="0.35">
      <c r="A56" s="30" t="s">
        <v>32</v>
      </c>
      <c r="B56" s="33" t="s">
        <v>30</v>
      </c>
      <c r="C56" s="35" t="s">
        <v>30</v>
      </c>
      <c r="D56" s="34" t="s">
        <v>30</v>
      </c>
    </row>
    <row r="57" spans="1:4" ht="15.6" thickTop="1" thickBot="1" x14ac:dyDescent="0.35">
      <c r="A57" s="30" t="s">
        <v>31</v>
      </c>
      <c r="B57" s="33" t="s">
        <v>30</v>
      </c>
      <c r="C57" s="32" t="s">
        <v>30</v>
      </c>
      <c r="D57" s="31" t="s">
        <v>30</v>
      </c>
    </row>
    <row r="58" spans="1:4" ht="15.6" thickTop="1" thickBot="1" x14ac:dyDescent="0.35">
      <c r="A58" s="30" t="s">
        <v>29</v>
      </c>
      <c r="B58" s="29" t="s">
        <v>27</v>
      </c>
      <c r="C58" s="28" t="s">
        <v>27</v>
      </c>
      <c r="D58" s="27" t="s">
        <v>27</v>
      </c>
    </row>
    <row r="59" spans="1:4" ht="15.6" thickTop="1" thickBot="1" x14ac:dyDescent="0.35">
      <c r="A59" s="26" t="s">
        <v>28</v>
      </c>
      <c r="B59" s="25" t="s">
        <v>27</v>
      </c>
      <c r="C59" s="24"/>
      <c r="D59" s="23"/>
    </row>
    <row r="60" spans="1:4" ht="15" thickTop="1" x14ac:dyDescent="0.3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2F29-248D-471C-A993-E27232C69752}">
  <dimension ref="A1:D28"/>
  <sheetViews>
    <sheetView tabSelected="1" topLeftCell="A19" zoomScale="110" zoomScaleNormal="110" workbookViewId="0">
      <selection activeCell="A18" sqref="A18:C18"/>
    </sheetView>
  </sheetViews>
  <sheetFormatPr defaultColWidth="19.6640625" defaultRowHeight="21.6" customHeight="1" x14ac:dyDescent="0.3"/>
  <cols>
    <col min="1" max="16384" width="19.6640625" style="1"/>
  </cols>
  <sheetData>
    <row r="1" spans="1:2" ht="21.6" customHeight="1" x14ac:dyDescent="0.3">
      <c r="A1" s="112" t="s">
        <v>98</v>
      </c>
    </row>
    <row r="2" spans="1:2" ht="21.6" customHeight="1" thickBot="1" x14ac:dyDescent="0.35"/>
    <row r="3" spans="1:2" ht="21.6" customHeight="1" thickTop="1" x14ac:dyDescent="0.3">
      <c r="A3" s="113" t="s">
        <v>99</v>
      </c>
      <c r="B3" s="114"/>
    </row>
    <row r="4" spans="1:2" ht="21.6" customHeight="1" x14ac:dyDescent="0.3">
      <c r="A4" s="115">
        <f>6/6</f>
        <v>1</v>
      </c>
    </row>
    <row r="5" spans="1:2" ht="21.6" customHeight="1" x14ac:dyDescent="0.3">
      <c r="A5" s="115"/>
    </row>
    <row r="6" spans="1:2" ht="21.6" customHeight="1" x14ac:dyDescent="0.3">
      <c r="A6" s="115"/>
    </row>
    <row r="7" spans="1:2" ht="21.6" customHeight="1" x14ac:dyDescent="0.3">
      <c r="A7" s="115"/>
    </row>
    <row r="8" spans="1:2" ht="21.6" customHeight="1" x14ac:dyDescent="0.3">
      <c r="A8" s="115"/>
    </row>
    <row r="9" spans="1:2" ht="21.6" customHeight="1" x14ac:dyDescent="0.3">
      <c r="A9" s="115"/>
    </row>
    <row r="10" spans="1:2" ht="21.6" customHeight="1" x14ac:dyDescent="0.3">
      <c r="A10" s="115"/>
    </row>
    <row r="11" spans="1:2" ht="21.6" customHeight="1" x14ac:dyDescent="0.3">
      <c r="A11" s="115"/>
    </row>
    <row r="12" spans="1:2" ht="21.6" customHeight="1" x14ac:dyDescent="0.3">
      <c r="A12" s="115"/>
    </row>
    <row r="13" spans="1:2" ht="21.6" customHeight="1" thickBot="1" x14ac:dyDescent="0.35">
      <c r="A13" s="116"/>
    </row>
    <row r="14" spans="1:2" ht="21.6" customHeight="1" thickTop="1" x14ac:dyDescent="0.3"/>
    <row r="16" spans="1:2" ht="21.6" customHeight="1" x14ac:dyDescent="0.3">
      <c r="A16" s="112" t="s">
        <v>100</v>
      </c>
    </row>
    <row r="17" spans="1:4" ht="21.6" customHeight="1" thickBot="1" x14ac:dyDescent="0.35"/>
    <row r="18" spans="1:4" ht="21.6" customHeight="1" thickTop="1" thickBot="1" x14ac:dyDescent="0.35">
      <c r="A18" s="122" t="s">
        <v>101</v>
      </c>
      <c r="B18" s="123"/>
      <c r="C18" s="124"/>
      <c r="D18" s="134" t="s">
        <v>105</v>
      </c>
    </row>
    <row r="19" spans="1:4" ht="21.6" customHeight="1" thickTop="1" x14ac:dyDescent="0.3">
      <c r="A19" s="119" t="s">
        <v>102</v>
      </c>
      <c r="B19" s="120" t="s">
        <v>103</v>
      </c>
      <c r="C19" s="121" t="s">
        <v>104</v>
      </c>
      <c r="D19" s="115"/>
    </row>
    <row r="20" spans="1:4" ht="21.6" customHeight="1" x14ac:dyDescent="0.3">
      <c r="A20" s="8">
        <v>4</v>
      </c>
      <c r="B20" s="1">
        <v>3.5</v>
      </c>
      <c r="C20" s="11">
        <v>2</v>
      </c>
      <c r="D20" s="115"/>
    </row>
    <row r="21" spans="1:4" ht="21.6" customHeight="1" x14ac:dyDescent="0.3">
      <c r="A21" s="8">
        <v>4</v>
      </c>
      <c r="B21" s="1">
        <v>3.5</v>
      </c>
      <c r="C21" s="137">
        <v>2</v>
      </c>
      <c r="D21" s="115"/>
    </row>
    <row r="22" spans="1:4" ht="21.6" customHeight="1" x14ac:dyDescent="0.3">
      <c r="A22" s="8"/>
      <c r="C22" s="11"/>
      <c r="D22" s="115"/>
    </row>
    <row r="23" spans="1:4" ht="21.6" customHeight="1" x14ac:dyDescent="0.3">
      <c r="A23" s="8"/>
      <c r="C23" s="11"/>
      <c r="D23" s="115"/>
    </row>
    <row r="24" spans="1:4" ht="21.6" customHeight="1" x14ac:dyDescent="0.3">
      <c r="A24" s="8"/>
      <c r="C24" s="11"/>
      <c r="D24" s="115"/>
    </row>
    <row r="25" spans="1:4" ht="21.6" customHeight="1" thickBot="1" x14ac:dyDescent="0.35">
      <c r="A25" s="118"/>
      <c r="B25" s="117"/>
      <c r="C25" s="21"/>
      <c r="D25" s="116"/>
    </row>
    <row r="26" spans="1:4" ht="21.6" customHeight="1" thickTop="1" thickBot="1" x14ac:dyDescent="0.35">
      <c r="D26" s="135" t="s">
        <v>106</v>
      </c>
    </row>
    <row r="27" spans="1:4" ht="21.6" customHeight="1" thickTop="1" thickBot="1" x14ac:dyDescent="0.35">
      <c r="D27" s="136">
        <v>5</v>
      </c>
    </row>
    <row r="28" spans="1:4" ht="21.6" customHeight="1" thickTop="1" x14ac:dyDescent="0.3"/>
  </sheetData>
  <mergeCells count="1">
    <mergeCell ref="A18:C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EEA1-6394-4176-AC63-8C901888F96B}">
  <dimension ref="A1:F13"/>
  <sheetViews>
    <sheetView topLeftCell="A22" zoomScale="107" zoomScaleNormal="107" workbookViewId="0">
      <selection activeCell="A16" sqref="A16"/>
    </sheetView>
  </sheetViews>
  <sheetFormatPr defaultColWidth="25.6640625" defaultRowHeight="43.2" customHeight="1" x14ac:dyDescent="0.3"/>
  <cols>
    <col min="1" max="16384" width="25.6640625" style="1"/>
  </cols>
  <sheetData>
    <row r="1" spans="1:6" ht="12.6" customHeight="1" thickBot="1" x14ac:dyDescent="0.35"/>
    <row r="2" spans="1:6" s="3" customFormat="1" ht="26.4" customHeight="1" thickTop="1" thickBot="1" x14ac:dyDescent="0.35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ht="43.2" customHeight="1" thickTop="1" thickBot="1" x14ac:dyDescent="0.35">
      <c r="A3" s="4" t="s">
        <v>5</v>
      </c>
      <c r="B3" s="5" t="s">
        <v>6</v>
      </c>
      <c r="D3" s="6" t="s">
        <v>6</v>
      </c>
      <c r="F3" s="7"/>
    </row>
    <row r="4" spans="1:6" ht="43.2" customHeight="1" thickTop="1" thickBot="1" x14ac:dyDescent="0.35">
      <c r="A4" s="4" t="s">
        <v>7</v>
      </c>
      <c r="B4" s="8"/>
      <c r="C4" s="9" t="s">
        <v>8</v>
      </c>
      <c r="D4" s="10"/>
      <c r="F4" s="11"/>
    </row>
    <row r="5" spans="1:6" ht="43.2" customHeight="1" thickTop="1" thickBot="1" x14ac:dyDescent="0.35">
      <c r="A5" s="4" t="s">
        <v>9</v>
      </c>
      <c r="B5" s="8"/>
      <c r="C5" s="12" t="s">
        <v>10</v>
      </c>
      <c r="D5" s="13" t="s">
        <v>10</v>
      </c>
      <c r="E5" s="14" t="s">
        <v>6</v>
      </c>
      <c r="F5" s="15" t="s">
        <v>10</v>
      </c>
    </row>
    <row r="6" spans="1:6" ht="43.2" customHeight="1" thickTop="1" thickBot="1" x14ac:dyDescent="0.35">
      <c r="A6" s="4" t="s">
        <v>11</v>
      </c>
      <c r="B6" s="16" t="s">
        <v>12</v>
      </c>
      <c r="D6" s="10"/>
      <c r="F6" s="11"/>
    </row>
    <row r="7" spans="1:6" ht="43.2" customHeight="1" thickTop="1" thickBot="1" x14ac:dyDescent="0.35">
      <c r="A7" s="4" t="s">
        <v>13</v>
      </c>
      <c r="B7" s="17" t="s">
        <v>14</v>
      </c>
      <c r="D7" s="18" t="s">
        <v>14</v>
      </c>
      <c r="E7" s="19" t="s">
        <v>14</v>
      </c>
      <c r="F7" s="11"/>
    </row>
    <row r="8" spans="1:6" ht="43.2" customHeight="1" thickTop="1" thickBot="1" x14ac:dyDescent="0.35">
      <c r="A8" s="4" t="s">
        <v>15</v>
      </c>
      <c r="B8" s="8"/>
      <c r="D8" s="10"/>
      <c r="F8" s="11"/>
    </row>
    <row r="9" spans="1:6" ht="43.2" customHeight="1" thickTop="1" thickBot="1" x14ac:dyDescent="0.35">
      <c r="A9" s="4" t="s">
        <v>16</v>
      </c>
      <c r="B9" s="8"/>
      <c r="C9" s="125" t="s">
        <v>17</v>
      </c>
      <c r="D9" s="10"/>
      <c r="E9" s="125" t="s">
        <v>17</v>
      </c>
      <c r="F9" s="20" t="s">
        <v>18</v>
      </c>
    </row>
    <row r="10" spans="1:6" ht="22.2" customHeight="1" thickTop="1" thickBot="1" x14ac:dyDescent="0.35">
      <c r="A10" s="4" t="s">
        <v>19</v>
      </c>
      <c r="B10" s="8"/>
      <c r="C10" s="126"/>
      <c r="D10" s="10"/>
      <c r="E10" s="126"/>
      <c r="F10" s="128" t="s">
        <v>8</v>
      </c>
    </row>
    <row r="11" spans="1:6" ht="22.8" customHeight="1" thickTop="1" thickBot="1" x14ac:dyDescent="0.35">
      <c r="A11" s="4" t="s">
        <v>20</v>
      </c>
      <c r="B11" s="130" t="s">
        <v>21</v>
      </c>
      <c r="C11" s="126"/>
      <c r="D11" s="132" t="s">
        <v>21</v>
      </c>
      <c r="E11" s="126"/>
      <c r="F11" s="129"/>
    </row>
    <row r="12" spans="1:6" ht="43.2" customHeight="1" thickTop="1" thickBot="1" x14ac:dyDescent="0.35">
      <c r="A12" s="4" t="s">
        <v>22</v>
      </c>
      <c r="B12" s="131"/>
      <c r="C12" s="127"/>
      <c r="D12" s="133"/>
      <c r="E12" s="127"/>
      <c r="F12" s="21"/>
    </row>
    <row r="13" spans="1:6" ht="43.2" customHeight="1" thickTop="1" x14ac:dyDescent="0.3">
      <c r="B13" s="1" t="s">
        <v>23</v>
      </c>
      <c r="C13" s="1" t="s">
        <v>24</v>
      </c>
      <c r="D13" s="1" t="s">
        <v>25</v>
      </c>
      <c r="E13" s="1" t="s">
        <v>24</v>
      </c>
      <c r="F13" s="1" t="s">
        <v>26</v>
      </c>
    </row>
  </sheetData>
  <mergeCells count="5">
    <mergeCell ref="C9:C12"/>
    <mergeCell ref="E9:E12"/>
    <mergeCell ref="F10:F11"/>
    <mergeCell ref="B11:B12"/>
    <mergeCell ref="D11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5th Sem Marks</vt:lpstr>
      <vt:lpstr>6th Sem Marks</vt:lpstr>
      <vt:lpstr>6th Sem Time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Ronit Kumar</dc:creator>
  <cp:lastModifiedBy>Ronit Kumar</cp:lastModifiedBy>
  <dcterms:created xsi:type="dcterms:W3CDTF">2026-01-11T10:20:47Z</dcterms:created>
  <dcterms:modified xsi:type="dcterms:W3CDTF">2026-01-21T07:15:17Z</dcterms:modified>
</cp:coreProperties>
</file>