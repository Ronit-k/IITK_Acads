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5th Sem Marks" sheetId="1" state="visible" r:id="rId2"/>
    <sheet name="6th Sem Marks" sheetId="2" state="visible" r:id="rId3"/>
    <sheet name="6th Sem Time Table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<sst xmlns="http://schemas.openxmlformats.org/spreadsheetml/2006/main" count="142" uniqueCount="109">
  <si>
    <t xml:space="preserve">EE370</t>
  </si>
  <si>
    <t xml:space="preserve">EE320</t>
  </si>
  <si>
    <t xml:space="preserve">ART404</t>
  </si>
  <si>
    <t xml:space="preserve">Surpise Quiz (5%) N-1</t>
  </si>
  <si>
    <t xml:space="preserve">Mini Quiz (15%) N-1</t>
  </si>
  <si>
    <t xml:space="preserve">Mini Quiz (10%)</t>
  </si>
  <si>
    <t xml:space="preserve">Major Quiz (20%) N-1</t>
  </si>
  <si>
    <t xml:space="preserve">Major Quiz (20%)</t>
  </si>
  <si>
    <t xml:space="preserve">mean = 15.55/20</t>
  </si>
  <si>
    <t xml:space="preserve">mean = 11.68/20</t>
  </si>
  <si>
    <t xml:space="preserve">MidSem (30%)</t>
  </si>
  <si>
    <t xml:space="preserve">mean = 7.89/20</t>
  </si>
  <si>
    <t xml:space="preserve">mean = 12.38/20</t>
  </si>
  <si>
    <t xml:space="preserve">MidSem (25%)</t>
  </si>
  <si>
    <t xml:space="preserve">EndSem (33)</t>
  </si>
  <si>
    <t xml:space="preserve">mean = 11.41/20</t>
  </si>
  <si>
    <t xml:space="preserve">Major Quiz (25%)</t>
  </si>
  <si>
    <t xml:space="preserve">EndSem (45%)</t>
  </si>
  <si>
    <t xml:space="preserve">Attendance (15%)</t>
  </si>
  <si>
    <t xml:space="preserve">mean = 20.95</t>
  </si>
  <si>
    <t xml:space="preserve">mean =56.6</t>
  </si>
  <si>
    <t xml:space="preserve">mean = 18.5</t>
  </si>
  <si>
    <t xml:space="preserve">mini weightage</t>
  </si>
  <si>
    <t xml:space="preserve">Total (100%)(98)</t>
  </si>
  <si>
    <t xml:space="preserve">% out of 98</t>
  </si>
  <si>
    <t xml:space="preserve">EndSem (30%)</t>
  </si>
  <si>
    <t xml:space="preserve">weightage(1mini, 2sup)</t>
  </si>
  <si>
    <t xml:space="preserve">Total (100%)(100)</t>
  </si>
  <si>
    <t xml:space="preserve">27/33 prorated to 28.63/35</t>
  </si>
  <si>
    <t xml:space="preserve"> +2 grace given to all</t>
  </si>
  <si>
    <t xml:space="preserve">mean = 64.6</t>
  </si>
  <si>
    <t xml:space="preserve">Toatal (100%)</t>
  </si>
  <si>
    <t xml:space="preserve">Total (100%)</t>
  </si>
  <si>
    <t xml:space="preserve">EE380</t>
  </si>
  <si>
    <t xml:space="preserve">PHY113</t>
  </si>
  <si>
    <t xml:space="preserve">CS Lab(25%)(1,2,3,4,5)</t>
  </si>
  <si>
    <t xml:space="preserve">EC Lab(20%)(1,2,3,5,6)</t>
  </si>
  <si>
    <t xml:space="preserve">Major Quiz (40) </t>
  </si>
  <si>
    <t xml:space="preserve">Pre Lab(10)</t>
  </si>
  <si>
    <t xml:space="preserve">In Lab(10)</t>
  </si>
  <si>
    <t xml:space="preserve">Lab Report</t>
  </si>
  <si>
    <t xml:space="preserve">Avg = 14.53</t>
  </si>
  <si>
    <t xml:space="preserve">Avg = </t>
  </si>
  <si>
    <t xml:space="preserve">MidSem (80)</t>
  </si>
  <si>
    <t xml:space="preserve">Avg = 53.83</t>
  </si>
  <si>
    <t xml:space="preserve">EndSem (117)</t>
  </si>
  <si>
    <t xml:space="preserve">EMEC Lab(20%)</t>
  </si>
  <si>
    <t xml:space="preserve">Pre+Post+atndnce(6+6+2)</t>
  </si>
  <si>
    <t xml:space="preserve">Viva(6)</t>
  </si>
  <si>
    <t xml:space="preserve">MidSem (10%)</t>
  </si>
  <si>
    <t xml:space="preserve">Total (100%)(237)</t>
  </si>
  <si>
    <t xml:space="preserve">% out of 237</t>
  </si>
  <si>
    <t xml:space="preserve">Total (100%)(240)</t>
  </si>
  <si>
    <t xml:space="preserve">91/117 proted to 93.33/120</t>
  </si>
  <si>
    <t xml:space="preserve">EndLabExam(25%)</t>
  </si>
  <si>
    <t xml:space="preserve"> +3 grace given to all</t>
  </si>
  <si>
    <t xml:space="preserve">Final Marks(CS,EC,EMEC)</t>
  </si>
  <si>
    <t xml:space="preserve">Total(100%)</t>
  </si>
  <si>
    <t xml:space="preserve">prelab me 6 h -&gt; not sure</t>
  </si>
  <si>
    <t xml:space="preserve">MID SEM</t>
  </si>
  <si>
    <t xml:space="preserve">Sept     \ Slot</t>
  </si>
  <si>
    <t xml:space="preserve">8am - 10am</t>
  </si>
  <si>
    <t xml:space="preserve">1pm - 3pm</t>
  </si>
  <si>
    <t xml:space="preserve">6pm - 8pm</t>
  </si>
  <si>
    <t xml:space="preserve">16th</t>
  </si>
  <si>
    <t xml:space="preserve">17th</t>
  </si>
  <si>
    <t xml:space="preserve">18th</t>
  </si>
  <si>
    <t xml:space="preserve">19th</t>
  </si>
  <si>
    <t xml:space="preserve">20th</t>
  </si>
  <si>
    <t xml:space="preserve">21st</t>
  </si>
  <si>
    <t xml:space="preserve">22nd</t>
  </si>
  <si>
    <t xml:space="preserve">CS253</t>
  </si>
  <si>
    <t xml:space="preserve">Weekly Quiz (20%)</t>
  </si>
  <si>
    <t xml:space="preserve">EE381</t>
  </si>
  <si>
    <t xml:space="preserve">EE340</t>
  </si>
  <si>
    <t xml:space="preserve">DCMP Lab (20%)</t>
  </si>
  <si>
    <t xml:space="preserve">EC Lab (20%)</t>
  </si>
  <si>
    <t xml:space="preserve">Mini Quiz (10%) (N-2)</t>
  </si>
  <si>
    <t xml:space="preserve">Pre Lab</t>
  </si>
  <si>
    <t xml:space="preserve">In Lab</t>
  </si>
  <si>
    <t xml:space="preserve">Post Lab</t>
  </si>
  <si>
    <t xml:space="preserve">Attrndance (5%)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</si>
  <si>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</si>
  <si>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</si>
  <si>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</si>
  <si>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</si>
  <si>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</si>
  <si>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08:00 - 9:00</t>
  </si>
  <si>
    <r>
      <rPr>
        <b val="true"/>
        <sz val="14"/>
        <color rgb="FF1F4E79"/>
        <rFont val="Calibri"/>
        <family val="2"/>
        <charset val="1"/>
      </rPr>
      <t xml:space="preserve">EE340
</t>
    </r>
    <r>
      <rPr>
        <sz val="11"/>
        <color rgb="FF1F4E79"/>
        <rFont val="Calibri"/>
        <family val="2"/>
        <charset val="1"/>
      </rPr>
      <t xml:space="preserve">LEC L18</t>
    </r>
  </si>
  <si>
    <t xml:space="preserve">09:00 - 10:00</t>
  </si>
  <si>
    <r>
      <rPr>
        <b val="true"/>
        <sz val="14"/>
        <color rgb="FF806000"/>
        <rFont val="Calibri"/>
        <family val="2"/>
        <charset val="1"/>
      </rPr>
      <t xml:space="preserve">EE381
</t>
    </r>
    <r>
      <rPr>
        <sz val="11"/>
        <color rgb="FF806000"/>
        <rFont val="Calibri"/>
        <family val="2"/>
        <charset val="1"/>
      </rPr>
      <t xml:space="preserve">LEC L01</t>
    </r>
  </si>
  <si>
    <t xml:space="preserve">10:00 - 11:00</t>
  </si>
  <si>
    <r>
      <rPr>
        <b val="true"/>
        <sz val="14"/>
        <color rgb="FF860000"/>
        <rFont val="Calibri"/>
        <family val="2"/>
        <charset val="1"/>
      </rPr>
      <t xml:space="preserve">CS253
</t>
    </r>
    <r>
      <rPr>
        <sz val="11"/>
        <color rgb="FF860000"/>
        <rFont val="Calibri"/>
        <family val="2"/>
        <charset val="1"/>
      </rPr>
      <t xml:space="preserve">LEC L07</t>
    </r>
  </si>
  <si>
    <t xml:space="preserve">11:00 - 12:00</t>
  </si>
  <si>
    <r>
      <rPr>
        <b val="true"/>
        <sz val="14"/>
        <color rgb="FF806000"/>
        <rFont val="Calibri"/>
        <family val="2"/>
        <charset val="1"/>
      </rPr>
      <t xml:space="preserve">EE381
</t>
    </r>
    <r>
      <rPr>
        <sz val="11"/>
        <color rgb="FF806000"/>
        <rFont val="Calibri"/>
        <family val="2"/>
        <charset val="1"/>
      </rPr>
      <t xml:space="preserve">LEC L02</t>
    </r>
  </si>
  <si>
    <t xml:space="preserve">12:00 - 13:00</t>
  </si>
  <si>
    <r>
      <rPr>
        <b val="true"/>
        <sz val="14"/>
        <color rgb="FF385724"/>
        <rFont val="Calibri"/>
        <family val="2"/>
        <charset val="1"/>
      </rPr>
      <t xml:space="preserve">ESO207
</t>
    </r>
    <r>
      <rPr>
        <sz val="11"/>
        <color rgb="FF385724"/>
        <rFont val="Calibri"/>
        <family val="2"/>
        <charset val="1"/>
      </rPr>
      <t xml:space="preserve">LEC L07</t>
    </r>
  </si>
  <si>
    <t xml:space="preserve">13:00 - 14:00</t>
  </si>
  <si>
    <t xml:space="preserve">14:00 - 15:00</t>
  </si>
  <si>
    <r>
      <rPr>
        <b val="true"/>
        <sz val="14"/>
        <color rgb="FF806000"/>
        <rFont val="Calibri"/>
        <family val="2"/>
        <charset val="1"/>
      </rPr>
      <t xml:space="preserve">EE381
</t>
    </r>
    <r>
      <rPr>
        <sz val="11"/>
        <color rgb="FF806000"/>
        <rFont val="Calibri"/>
        <family val="2"/>
        <charset val="1"/>
      </rPr>
      <t xml:space="preserve">LAB </t>
    </r>
  </si>
  <si>
    <r>
      <rPr>
        <b val="true"/>
        <sz val="14"/>
        <color rgb="FF1F4E79"/>
        <rFont val="Calibri"/>
        <family val="2"/>
        <charset val="1"/>
      </rPr>
      <t xml:space="preserve">EE340
</t>
    </r>
    <r>
      <rPr>
        <sz val="11"/>
        <color rgb="FF000000"/>
        <rFont val="Calibri"/>
        <family val="2"/>
        <charset val="1"/>
      </rPr>
      <t xml:space="preserve">TUT</t>
    </r>
  </si>
  <si>
    <t xml:space="preserve">15:00 - 15:30</t>
  </si>
  <si>
    <t xml:space="preserve">15:30 - 16:00</t>
  </si>
  <si>
    <r>
      <rPr>
        <b val="true"/>
        <sz val="14"/>
        <color rgb="FF843C0B"/>
        <rFont val="Calibri"/>
        <family val="2"/>
        <charset val="1"/>
      </rPr>
      <t xml:space="preserve">CS633
</t>
    </r>
    <r>
      <rPr>
        <sz val="11"/>
        <color rgb="FF843C0B"/>
        <rFont val="Calibri"/>
        <family val="2"/>
        <charset val="1"/>
      </rPr>
      <t xml:space="preserve">LEC L07</t>
    </r>
  </si>
  <si>
    <t xml:space="preserve">16:00 - 17:00</t>
  </si>
  <si>
    <t xml:space="preserve">4.5hr</t>
  </si>
  <si>
    <t xml:space="preserve">5hr</t>
  </si>
  <si>
    <t xml:space="preserve">3.5hr</t>
  </si>
  <si>
    <t xml:space="preserve">2hr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</si>
</sst>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 ???/???"/>
    <numFmt numFmtId="166" formatCode="General"/>
    <numFmt numFmtId="167" formatCode="# ??/??"/>
    <numFmt numFmtId="168" formatCode="0.00"/>
  </numFmts>
  <fonts count="2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3"/>
      <color rgb="FFFBE5D6"/>
      <name val="Arial"/>
      <family val="2"/>
      <charset val="1"/>
    </font>
    <font>
      <sz val="10"/>
      <color rgb="FFFBE5D6"/>
      <name val="Arial"/>
      <family val="2"/>
      <charset val="1"/>
    </font>
    <font>
      <sz val="3"/>
      <color rgb="FF333F50"/>
      <name val="Arial"/>
      <family val="2"/>
      <charset val="1"/>
    </font>
    <font>
      <sz val="10"/>
      <color rgb="FF333F50"/>
      <name val="Arial"/>
      <family val="2"/>
      <charset val="1"/>
    </font>
    <font>
      <sz val="3"/>
      <color rgb="FF535353"/>
      <name val="Arial"/>
      <family val="2"/>
      <charset val="1"/>
    </font>
    <font>
      <sz val="10"/>
      <color rgb="FF535353"/>
      <name val="Arial"/>
      <family val="2"/>
      <charset val="1"/>
    </font>
    <font>
      <sz val="3"/>
      <color rgb="FFCC9900"/>
      <name val="Arial"/>
      <family val="2"/>
      <charset val="1"/>
    </font>
    <font>
      <sz val="10"/>
      <color rgb="FFCC9900"/>
      <name val="Arial"/>
      <family val="2"/>
      <charset val="1"/>
    </font>
    <font>
      <sz val="4"/>
      <color rgb="FFF4B183"/>
      <name val="Arial"/>
      <family val="2"/>
      <charset val="1"/>
    </font>
    <font>
      <sz val="10"/>
      <color rgb="FFF4B183"/>
      <name val="Arial"/>
      <family val="2"/>
      <charset val="1"/>
    </font>
    <font>
      <sz val="8"/>
      <color rgb="FF6C757D"/>
      <name val="Segoe UI Emoji"/>
      <family val="2"/>
      <charset val="1"/>
    </font>
    <font>
      <sz val="16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 val="true"/>
      <sz val="14"/>
      <color rgb="FF1F4E79"/>
      <name val="Calibri"/>
      <family val="2"/>
      <charset val="1"/>
    </font>
    <font>
      <sz val="11"/>
      <color rgb="FF1F4E79"/>
      <name val="Calibri"/>
      <family val="2"/>
      <charset val="1"/>
    </font>
    <font>
      <b val="true"/>
      <sz val="14"/>
      <color rgb="FF806000"/>
      <name val="Calibri"/>
      <family val="2"/>
      <charset val="1"/>
    </font>
    <font>
      <sz val="11"/>
      <color rgb="FF806000"/>
      <name val="Calibri"/>
      <family val="2"/>
      <charset val="1"/>
    </font>
    <font>
      <b val="true"/>
      <sz val="14"/>
      <color rgb="FF860000"/>
      <name val="Calibri"/>
      <family val="2"/>
      <charset val="1"/>
    </font>
    <font>
      <sz val="11"/>
      <color rgb="FF860000"/>
      <name val="Calibri"/>
      <family val="2"/>
      <charset val="1"/>
    </font>
    <font>
      <b val="true"/>
      <sz val="14"/>
      <color rgb="FF385724"/>
      <name val="Calibri"/>
      <family val="2"/>
      <charset val="1"/>
    </font>
    <font>
      <sz val="11"/>
      <color rgb="FF385724"/>
      <name val="Calibri"/>
      <family val="2"/>
      <charset val="1"/>
    </font>
    <font>
      <b val="true"/>
      <sz val="14"/>
      <color rgb="FF843C0B"/>
      <name val="Calibri"/>
      <family val="2"/>
      <charset val="1"/>
    </font>
    <font>
      <sz val="11"/>
      <color rgb="FF843C0B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C5E0B4"/>
        <bgColor rgb="FFDBDBDB"/>
      </patternFill>
    </fill>
    <fill>
      <patternFill patternType="solid">
        <fgColor rgb="FFAFABAB"/>
        <bgColor rgb="FF969696"/>
      </patternFill>
    </fill>
    <fill>
      <patternFill patternType="solid">
        <fgColor rgb="FFDBDBDB"/>
        <bgColor rgb="FFDAE3F3"/>
      </patternFill>
    </fill>
    <fill>
      <patternFill patternType="solid">
        <fgColor rgb="FF000000"/>
        <bgColor rgb="FF003300"/>
      </patternFill>
    </fill>
    <fill>
      <patternFill patternType="solid">
        <fgColor rgb="FFFF7C80"/>
        <bgColor rgb="FFFF99CC"/>
      </patternFill>
    </fill>
    <fill>
      <patternFill patternType="solid">
        <fgColor rgb="FF6699FF"/>
        <bgColor rgb="FF969696"/>
      </patternFill>
    </fill>
    <fill>
      <patternFill patternType="solid">
        <fgColor rgb="FF99FF99"/>
        <bgColor rgb="FFC5E0B4"/>
      </patternFill>
    </fill>
    <fill>
      <patternFill patternType="solid">
        <fgColor rgb="FF548235"/>
        <bgColor rgb="FF6C757D"/>
      </patternFill>
    </fill>
    <fill>
      <patternFill patternType="solid">
        <fgColor rgb="FFC55A11"/>
        <bgColor rgb="FF806000"/>
      </patternFill>
    </fill>
    <fill>
      <patternFill patternType="solid">
        <fgColor rgb="FFDAE3F3"/>
        <bgColor rgb="FFDBDBDB"/>
      </patternFill>
    </fill>
    <fill>
      <patternFill patternType="solid">
        <fgColor rgb="FFFFF2CC"/>
        <bgColor rgb="FFFBE5D6"/>
      </patternFill>
    </fill>
    <fill>
      <patternFill patternType="solid">
        <fgColor rgb="FFFFD9D9"/>
        <bgColor rgb="FFFBE5D6"/>
      </patternFill>
    </fill>
    <fill>
      <patternFill patternType="solid">
        <fgColor rgb="FFE2F0D9"/>
        <bgColor rgb="FFDAE3F3"/>
      </patternFill>
    </fill>
    <fill>
      <patternFill patternType="solid">
        <fgColor rgb="FFFBE5D6"/>
        <bgColor rgb="FFFFD9D9"/>
      </patternFill>
    </fill>
  </fills>
  <borders count="59">
    <border diagonalUp="false" diagonalDown="false">
      <left/>
      <right/>
      <top/>
      <bottom/>
      <diagonal/>
    </border>
    <border diagonalUp="false" diagonalDown="false">
      <left style="thick"/>
      <right style="thick"/>
      <top style="thick"/>
      <bottom style="thin"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 style="medium"/>
      <top style="thick"/>
      <bottom style="thin"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ck"/>
      <right style="medium"/>
      <top style="thin"/>
      <bottom style="medium"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n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medium"/>
      <top/>
      <bottom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 style="thin"/>
      <top/>
      <bottom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 style="thin"/>
      <bottom/>
      <diagonal/>
    </border>
    <border diagonalUp="false" diagonalDown="false">
      <left style="thin"/>
      <right style="thick"/>
      <top style="thin"/>
      <bottom/>
      <diagonal/>
    </border>
    <border diagonalUp="false" diagonalDown="false">
      <left style="thin"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thin"/>
      <right style="thick"/>
      <top/>
      <bottom style="thick"/>
      <diagonal/>
    </border>
    <border diagonalUp="false" diagonalDown="false">
      <left style="thick"/>
      <right style="thin"/>
      <top style="thick"/>
      <bottom style="thick"/>
      <diagonal/>
    </border>
    <border diagonalUp="false" diagonalDown="false">
      <left style="thin"/>
      <right style="thin"/>
      <top style="thick"/>
      <bottom style="thick"/>
      <diagonal/>
    </border>
    <border diagonalUp="true" diagonalDown="false">
      <left style="thick"/>
      <right style="thin"/>
      <top style="thick"/>
      <bottom/>
      <diagonal style="thin"/>
    </border>
    <border diagonalUp="true" diagonalDown="false">
      <left style="thin"/>
      <right style="thick"/>
      <top style="thick"/>
      <bottom/>
      <diagonal style="thin"/>
    </border>
    <border diagonalUp="true" diagonalDown="false">
      <left style="thick"/>
      <right style="thick"/>
      <top/>
      <bottom style="thick"/>
      <diagonal style="thin"/>
    </border>
    <border diagonalUp="true" diagonalDown="false">
      <left style="thick"/>
      <right style="thick"/>
      <top style="thick"/>
      <bottom/>
      <diagonal style="thin"/>
    </border>
    <border diagonalUp="true" diagonalDown="false">
      <left/>
      <right style="thin"/>
      <top/>
      <bottom/>
      <diagonal style="thin"/>
    </border>
    <border diagonalUp="true" diagonalDown="false">
      <left/>
      <right style="thick"/>
      <top/>
      <bottom/>
      <diagonal style="thin"/>
    </border>
    <border diagonalUp="true" diagonalDown="false">
      <left style="thick"/>
      <right style="thin"/>
      <top/>
      <bottom/>
      <diagonal style="thin"/>
    </border>
    <border diagonalUp="true" diagonalDown="false">
      <left style="thin"/>
      <right style="thin"/>
      <top/>
      <bottom/>
      <diagonal style="thin"/>
    </border>
    <border diagonalUp="true" diagonalDown="false">
      <left style="thin"/>
      <right/>
      <top/>
      <bottom/>
      <diagonal style="thin"/>
    </border>
    <border diagonalUp="true" diagonalDown="true">
      <left style="thick"/>
      <right style="thin"/>
      <top/>
      <bottom style="thick"/>
      <diagonal style="thin"/>
    </border>
    <border diagonalUp="true" diagonalDown="true">
      <left/>
      <right style="thick"/>
      <top/>
      <bottom style="thick"/>
      <diagonal style="thin"/>
    </border>
    <border diagonalUp="false" diagonalDown="false">
      <left style="thick"/>
      <right style="thick"/>
      <top style="thick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 style="thick"/>
      <right style="thin"/>
      <top style="thick"/>
      <bottom/>
      <diagonal/>
    </border>
    <border diagonalUp="false" diagonalDown="false">
      <left style="thin"/>
      <right style="thin"/>
      <top style="thick"/>
      <bottom/>
      <diagonal/>
    </border>
    <border diagonalUp="false" diagonalDown="false">
      <left style="thin"/>
      <right style="thick"/>
      <top style="thick"/>
      <bottom/>
      <diagonal/>
    </border>
    <border diagonalUp="false" diagonalDown="false">
      <left style="thin"/>
      <right style="thin"/>
      <top/>
      <bottom/>
      <diagonal/>
    </border>
    <border diagonalUp="false" diagonalDown="true">
      <left style="thin"/>
      <right style="thin"/>
      <top/>
      <bottom/>
      <diagonal style="thick"/>
    </border>
    <border diagonalUp="false" diagonalDown="true">
      <left style="thin"/>
      <right style="thick"/>
      <top/>
      <bottom/>
      <diagonal style="thick"/>
    </border>
    <border diagonalUp="false" diagonalDown="false">
      <left style="thin"/>
      <right style="thin"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3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3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3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5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5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13" borderId="5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13" borderId="5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5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5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5" borderId="58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60000"/>
      <rgbColor rgb="FF008000"/>
      <rgbColor rgb="FF000080"/>
      <rgbColor rgb="FF806000"/>
      <rgbColor rgb="FF800080"/>
      <rgbColor rgb="FF008080"/>
      <rgbColor rgb="FFAFABAB"/>
      <rgbColor rgb="FF6C757D"/>
      <rgbColor rgb="FF6699FF"/>
      <rgbColor rgb="FF993366"/>
      <rgbColor rgb="FFFFF2CC"/>
      <rgbColor rgb="FFDAE3F3"/>
      <rgbColor rgb="FF660066"/>
      <rgbColor rgb="FFFF7C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5E0B4"/>
      <rgbColor rgb="FFE2F0D9"/>
      <rgbColor rgb="FFFFD9D9"/>
      <rgbColor rgb="FF99FF99"/>
      <rgbColor rgb="FFFF99CC"/>
      <rgbColor rgb="FFCC99FF"/>
      <rgbColor rgb="FFF4B183"/>
      <rgbColor rgb="FF3366FF"/>
      <rgbColor rgb="FF33CCCC"/>
      <rgbColor rgb="FF99CC00"/>
      <rgbColor rgb="FFFFCC00"/>
      <rgbColor rgb="FFCC9900"/>
      <rgbColor rgb="FFC55A11"/>
      <rgbColor rgb="FF535353"/>
      <rgbColor rgb="FF969696"/>
      <rgbColor rgb="FF003366"/>
      <rgbColor rgb="FF548235"/>
      <rgbColor rgb="FF003300"/>
      <rgbColor rgb="FF385724"/>
      <rgbColor rgb="FF843C0B"/>
      <rgbColor rgb="FF993366"/>
      <rgbColor rgb="FF1F4E79"/>
      <rgbColor rgb="FF333F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60</xdr:row>
      <xdr:rowOff>41760</xdr:rowOff>
    </xdr:from>
    <xdr:to>
      <xdr:col>4</xdr:col>
      <xdr:colOff>401400</xdr:colOff>
      <xdr:row>76</xdr:row>
      <xdr:rowOff>12240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0" y="11300400"/>
          <a:ext cx="5639040" cy="2865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122760</xdr:colOff>
      <xdr:row>59</xdr:row>
      <xdr:rowOff>172800</xdr:rowOff>
    </xdr:from>
    <xdr:to>
      <xdr:col>8</xdr:col>
      <xdr:colOff>890640</xdr:colOff>
      <xdr:row>76</xdr:row>
      <xdr:rowOff>19800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5360400" y="11241000"/>
          <a:ext cx="5337360" cy="293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60840</xdr:rowOff>
    </xdr:from>
    <xdr:to>
      <xdr:col>4</xdr:col>
      <xdr:colOff>482760</xdr:colOff>
      <xdr:row>93</xdr:row>
      <xdr:rowOff>62280</xdr:rowOff>
    </xdr:to>
    <xdr:pic>
      <xdr:nvPicPr>
        <xdr:cNvPr id="2" name="Picture 3" descr=""/>
        <xdr:cNvPicPr/>
      </xdr:nvPicPr>
      <xdr:blipFill>
        <a:blip r:embed="rId3"/>
        <a:stretch/>
      </xdr:blipFill>
      <xdr:spPr>
        <a:xfrm>
          <a:off x="0" y="14577120"/>
          <a:ext cx="5720400" cy="2715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365760</xdr:colOff>
      <xdr:row>78</xdr:row>
      <xdr:rowOff>91440</xdr:rowOff>
    </xdr:from>
    <xdr:to>
      <xdr:col>8</xdr:col>
      <xdr:colOff>1246320</xdr:colOff>
      <xdr:row>94</xdr:row>
      <xdr:rowOff>103680</xdr:rowOff>
    </xdr:to>
    <xdr:pic>
      <xdr:nvPicPr>
        <xdr:cNvPr id="3" name="Picture 4" descr=""/>
        <xdr:cNvPicPr/>
      </xdr:nvPicPr>
      <xdr:blipFill>
        <a:blip r:embed="rId4"/>
        <a:stretch/>
      </xdr:blipFill>
      <xdr:spPr>
        <a:xfrm>
          <a:off x="5603400" y="14607720"/>
          <a:ext cx="5450040" cy="290772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0"/>
  <sheetViews>
    <sheetView showFormulas="false" showGridLines="true" showRowColHeaders="true" showZeros="true" rightToLeft="false" tabSelected="false" showOutlineSymbols="true" defaultGridColor="true" view="normal" topLeftCell="A1" colorId="64" zoomScale="109" zoomScaleNormal="109" zoomScalePageLayoutView="100" workbookViewId="0">
      <selection pane="topLeft" activeCell="D18" activeCellId="0" sqref="D18"/>
    </sheetView>
  </sheetViews>
  <sheetFormatPr defaultColWidth="18.796875" defaultRowHeight="14.25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22.66"/>
    <col collapsed="false" customWidth="true" hidden="false" outlineLevel="0" max="3" min="3" style="1" width="23.56"/>
    <col collapsed="false" customWidth="true" hidden="false" outlineLevel="0" max="4" min="4" style="1" width="6.01"/>
    <col collapsed="false" customWidth="false" hidden="false" outlineLevel="0" max="5" min="5" style="1" width="18.77"/>
    <col collapsed="false" customWidth="true" hidden="false" outlineLevel="0" max="6" min="6" style="1" width="20.11"/>
    <col collapsed="false" customWidth="true" hidden="false" outlineLevel="0" max="7" min="7" style="1" width="7.11"/>
    <col collapsed="false" customWidth="false" hidden="false" outlineLevel="0" max="9" min="8" style="1" width="18.77"/>
    <col collapsed="false" customWidth="true" hidden="false" outlineLevel="0" max="10" min="10" style="1" width="28.11"/>
    <col collapsed="false" customWidth="true" hidden="false" outlineLevel="0" max="11" min="11" style="1" width="27.11"/>
    <col collapsed="false" customWidth="false" hidden="false" outlineLevel="0" max="1024" min="12" style="1" width="18.77"/>
  </cols>
  <sheetData>
    <row r="1" customFormat="false" ht="14.25" hidden="false" customHeight="false" outlineLevel="0" collapsed="false">
      <c r="A1" s="2" t="s">
        <v>0</v>
      </c>
      <c r="E1" s="2" t="s">
        <v>1</v>
      </c>
      <c r="H1" s="2" t="s">
        <v>2</v>
      </c>
    </row>
    <row r="2" customFormat="false" ht="15" hidden="false" customHeight="false" outlineLevel="0" collapsed="false"/>
    <row r="3" customFormat="false" ht="15" hidden="false" customHeight="false" outlineLevel="0" collapsed="false">
      <c r="A3" s="3" t="s">
        <v>3</v>
      </c>
      <c r="B3" s="3" t="s">
        <v>4</v>
      </c>
      <c r="E3" s="3" t="s">
        <v>5</v>
      </c>
      <c r="F3" s="3" t="s">
        <v>6</v>
      </c>
      <c r="H3" s="3" t="s">
        <v>7</v>
      </c>
    </row>
    <row r="4" customFormat="false" ht="15" hidden="false" customHeight="false" outlineLevel="0" collapsed="false">
      <c r="A4" s="4" t="n">
        <f aca="false">12/12</f>
        <v>1</v>
      </c>
      <c r="B4" s="4" t="n">
        <f aca="false">17/20</f>
        <v>0.85</v>
      </c>
      <c r="C4" s="1" t="s">
        <v>8</v>
      </c>
      <c r="E4" s="4" t="n">
        <f aca="false">10/10</f>
        <v>1</v>
      </c>
      <c r="F4" s="5" t="n">
        <f aca="false">7/10</f>
        <v>0.7</v>
      </c>
      <c r="H4" s="6" t="n">
        <v>12</v>
      </c>
    </row>
    <row r="5" customFormat="false" ht="15" hidden="false" customHeight="false" outlineLevel="0" collapsed="false">
      <c r="A5" s="4" t="n">
        <f aca="false">12/12</f>
        <v>1</v>
      </c>
      <c r="B5" s="4" t="n">
        <f aca="false">18/20</f>
        <v>0.9</v>
      </c>
      <c r="C5" s="1" t="s">
        <v>9</v>
      </c>
      <c r="E5" s="4" t="n">
        <f aca="false">10/10</f>
        <v>1</v>
      </c>
      <c r="F5" s="5" t="n">
        <f aca="false">16/21</f>
        <v>0.761904761904762</v>
      </c>
      <c r="H5" s="3" t="s">
        <v>10</v>
      </c>
    </row>
    <row r="6" customFormat="false" ht="15" hidden="false" customHeight="false" outlineLevel="0" collapsed="false">
      <c r="A6" s="7" t="n">
        <f aca="false">8/12</f>
        <v>0.666666666666667</v>
      </c>
      <c r="B6" s="7" t="n">
        <f aca="false">10/20</f>
        <v>0.5</v>
      </c>
      <c r="C6" s="1" t="s">
        <v>11</v>
      </c>
      <c r="E6" s="4" t="n">
        <f aca="false">9/10</f>
        <v>0.9</v>
      </c>
      <c r="F6" s="8" t="n">
        <f aca="false">23/40</f>
        <v>0.575</v>
      </c>
      <c r="H6" s="9" t="n">
        <v>23.5</v>
      </c>
    </row>
    <row r="7" customFormat="false" ht="15" hidden="false" customHeight="false" outlineLevel="0" collapsed="false">
      <c r="A7" s="4" t="n">
        <f aca="false">16/16</f>
        <v>1</v>
      </c>
      <c r="B7" s="4" t="n">
        <f aca="false">17.5/20</f>
        <v>0.875</v>
      </c>
      <c r="C7" s="1" t="s">
        <v>12</v>
      </c>
      <c r="E7" s="4" t="n">
        <f aca="false">8/10</f>
        <v>0.8</v>
      </c>
      <c r="F7" s="3" t="s">
        <v>13</v>
      </c>
      <c r="H7" s="3" t="s">
        <v>14</v>
      </c>
    </row>
    <row r="8" customFormat="false" ht="15" hidden="false" customHeight="false" outlineLevel="0" collapsed="false">
      <c r="A8" s="4" t="n">
        <f aca="false">8/8</f>
        <v>1</v>
      </c>
      <c r="B8" s="4" t="n">
        <f aca="false">13/20</f>
        <v>0.65</v>
      </c>
      <c r="C8" s="1" t="s">
        <v>15</v>
      </c>
      <c r="E8" s="4" t="n">
        <f aca="false">10/10</f>
        <v>1</v>
      </c>
      <c r="F8" s="10" t="n">
        <v>0.92</v>
      </c>
      <c r="H8" s="11" t="n">
        <v>27</v>
      </c>
    </row>
    <row r="9" customFormat="false" ht="15" hidden="false" customHeight="false" outlineLevel="0" collapsed="false">
      <c r="A9" s="3" t="s">
        <v>13</v>
      </c>
      <c r="B9" s="3" t="s">
        <v>16</v>
      </c>
      <c r="E9" s="4" t="n">
        <f aca="false">10/10</f>
        <v>1</v>
      </c>
      <c r="F9" s="3" t="s">
        <v>17</v>
      </c>
      <c r="H9" s="3" t="s">
        <v>18</v>
      </c>
      <c r="I9" s="2"/>
    </row>
    <row r="10" customFormat="false" ht="15" hidden="false" customHeight="false" outlineLevel="0" collapsed="false">
      <c r="A10" s="4" t="n">
        <f aca="false">71.25/75</f>
        <v>0.95</v>
      </c>
      <c r="B10" s="4" t="n">
        <f aca="false">23.5/40</f>
        <v>0.5875</v>
      </c>
      <c r="C10" s="1" t="s">
        <v>19</v>
      </c>
      <c r="E10" s="4" t="n">
        <f aca="false">9.5/10</f>
        <v>0.95</v>
      </c>
      <c r="F10" s="12" t="n">
        <f aca="false">61.5/80</f>
        <v>0.76875</v>
      </c>
      <c r="H10" s="13" t="n">
        <v>15</v>
      </c>
    </row>
    <row r="11" customFormat="false" ht="15" hidden="false" customHeight="false" outlineLevel="0" collapsed="false">
      <c r="A11" s="14" t="s">
        <v>20</v>
      </c>
      <c r="B11" s="14" t="n">
        <f aca="false">23/40</f>
        <v>0.575</v>
      </c>
      <c r="C11" s="1" t="s">
        <v>21</v>
      </c>
      <c r="E11" s="4" t="n">
        <f aca="false">10/10</f>
        <v>1</v>
      </c>
      <c r="F11" s="15" t="s">
        <v>22</v>
      </c>
      <c r="H11" s="16" t="s">
        <v>23</v>
      </c>
      <c r="I11" s="17" t="n">
        <f aca="false">SUM(H4,H6,H8,H10)/0.98</f>
        <v>79.0816326530612</v>
      </c>
      <c r="J11" s="1" t="s">
        <v>24</v>
      </c>
    </row>
    <row r="12" customFormat="false" ht="15" hidden="false" customHeight="false" outlineLevel="0" collapsed="false">
      <c r="A12" s="3" t="s">
        <v>25</v>
      </c>
      <c r="B12" s="18" t="s">
        <v>26</v>
      </c>
      <c r="E12" s="4" t="n">
        <f aca="false">10/10</f>
        <v>1</v>
      </c>
      <c r="F12" s="19" t="n">
        <f aca="false">10/10</f>
        <v>1</v>
      </c>
      <c r="H12" s="20" t="s">
        <v>27</v>
      </c>
      <c r="I12" s="21" t="n">
        <f aca="false">(H4+H6+H10+(35*H8/33))</f>
        <v>79.1363636363636</v>
      </c>
      <c r="J12" s="1" t="s">
        <v>28</v>
      </c>
    </row>
    <row r="13" customFormat="false" ht="15" hidden="false" customHeight="false" outlineLevel="0" collapsed="false">
      <c r="A13" s="22" t="n">
        <f aca="false">88/125</f>
        <v>0.704</v>
      </c>
      <c r="B13" s="23" t="n">
        <f aca="false">15/4</f>
        <v>3.75</v>
      </c>
      <c r="E13" s="24" t="n">
        <v>1</v>
      </c>
      <c r="H13" s="25" t="s">
        <v>27</v>
      </c>
      <c r="I13" s="26" t="n">
        <f aca="false">(H4+H6+H10+(H8+2))</f>
        <v>79.5</v>
      </c>
      <c r="J13" s="27" t="s">
        <v>29</v>
      </c>
    </row>
    <row r="14" customFormat="false" ht="15" hidden="false" customHeight="false" outlineLevel="0" collapsed="false">
      <c r="A14" s="4" t="s">
        <v>30</v>
      </c>
      <c r="B14" s="28" t="n">
        <f aca="false">5/3</f>
        <v>1.66666666666667</v>
      </c>
      <c r="E14" s="29" t="s">
        <v>31</v>
      </c>
      <c r="F14" s="30" t="n">
        <f aca="false">(E4+E5+E6+E7+E8+E9+E10+E11+E12+E13)*F12+(F5+F4)*10+F8*25+F10*45</f>
        <v>81.8627976190476</v>
      </c>
    </row>
    <row r="15" customFormat="false" ht="15" hidden="false" customHeight="false" outlineLevel="0" collapsed="false">
      <c r="A15" s="29" t="s">
        <v>32</v>
      </c>
      <c r="B15" s="30" t="n">
        <f aca="false">(A4+A5+A7)*B14+(B4+B5+B7+B8)*B13+(B10+B11)*12.5+A10*25+A13*30</f>
        <v>76.6825</v>
      </c>
    </row>
    <row r="16" customFormat="false" ht="15" hidden="false" customHeight="false" outlineLevel="0" collapsed="false"/>
    <row r="18" customFormat="false" ht="14.25" hidden="false" customHeight="false" outlineLevel="0" collapsed="false">
      <c r="A18" s="2" t="s">
        <v>33</v>
      </c>
      <c r="E18" s="2" t="s">
        <v>34</v>
      </c>
    </row>
    <row r="19" customFormat="false" ht="15" hidden="false" customHeight="false" outlineLevel="0" collapsed="false"/>
    <row r="20" customFormat="false" ht="15" hidden="false" customHeight="false" outlineLevel="0" collapsed="false">
      <c r="A20" s="31" t="s">
        <v>35</v>
      </c>
      <c r="B20" s="32"/>
      <c r="C20" s="3" t="s">
        <v>36</v>
      </c>
      <c r="E20" s="33" t="s">
        <v>37</v>
      </c>
      <c r="F20" s="34"/>
    </row>
    <row r="21" customFormat="false" ht="14.25" hidden="false" customHeight="false" outlineLevel="0" collapsed="false">
      <c r="A21" s="35" t="s">
        <v>38</v>
      </c>
      <c r="B21" s="36" t="s">
        <v>39</v>
      </c>
      <c r="C21" s="37" t="s">
        <v>40</v>
      </c>
      <c r="E21" s="38" t="n">
        <v>16</v>
      </c>
      <c r="F21" s="39" t="s">
        <v>41</v>
      </c>
    </row>
    <row r="22" customFormat="false" ht="15" hidden="false" customHeight="false" outlineLevel="0" collapsed="false">
      <c r="A22" s="40" t="n">
        <v>10</v>
      </c>
      <c r="B22" s="27" t="n">
        <v>10</v>
      </c>
      <c r="C22" s="4" t="n">
        <v>105</v>
      </c>
      <c r="E22" s="41" t="n">
        <v>16</v>
      </c>
      <c r="F22" s="42" t="s">
        <v>42</v>
      </c>
    </row>
    <row r="23" customFormat="false" ht="15" hidden="false" customHeight="false" outlineLevel="0" collapsed="false">
      <c r="A23" s="43" t="n">
        <v>7.75</v>
      </c>
      <c r="B23" s="27" t="n">
        <v>10</v>
      </c>
      <c r="C23" s="4" t="n">
        <v>55</v>
      </c>
      <c r="E23" s="33" t="s">
        <v>43</v>
      </c>
      <c r="F23" s="44"/>
    </row>
    <row r="24" customFormat="false" ht="15" hidden="false" customHeight="false" outlineLevel="0" collapsed="false">
      <c r="A24" s="43" t="n">
        <v>9.5</v>
      </c>
      <c r="B24" s="27" t="n">
        <v>10</v>
      </c>
      <c r="C24" s="4" t="n">
        <v>102</v>
      </c>
      <c r="E24" s="45" t="n">
        <v>59.5</v>
      </c>
      <c r="F24" s="46" t="s">
        <v>44</v>
      </c>
    </row>
    <row r="25" customFormat="false" ht="15" hidden="false" customHeight="false" outlineLevel="0" collapsed="false">
      <c r="A25" s="43" t="n">
        <v>9</v>
      </c>
      <c r="B25" s="27" t="n">
        <v>10</v>
      </c>
      <c r="C25" s="4" t="n">
        <v>104</v>
      </c>
      <c r="E25" s="33" t="s">
        <v>45</v>
      </c>
      <c r="F25" s="44"/>
    </row>
    <row r="26" customFormat="false" ht="15" hidden="false" customHeight="false" outlineLevel="0" collapsed="false">
      <c r="A26" s="43" t="n">
        <v>10</v>
      </c>
      <c r="B26" s="27" t="n">
        <v>10</v>
      </c>
      <c r="C26" s="4" t="n">
        <v>108</v>
      </c>
      <c r="E26" s="47" t="n">
        <v>91</v>
      </c>
      <c r="F26" s="46" t="s">
        <v>42</v>
      </c>
    </row>
    <row r="27" customFormat="false" ht="15" hidden="false" customHeight="false" outlineLevel="0" collapsed="false">
      <c r="A27" s="33" t="s">
        <v>46</v>
      </c>
      <c r="B27" s="34"/>
      <c r="C27" s="14" t="n">
        <v>100</v>
      </c>
    </row>
    <row r="28" customFormat="false" ht="15" hidden="false" customHeight="false" outlineLevel="0" collapsed="false">
      <c r="A28" s="35" t="s">
        <v>47</v>
      </c>
      <c r="B28" s="48" t="s">
        <v>48</v>
      </c>
      <c r="C28" s="49" t="s">
        <v>49</v>
      </c>
      <c r="E28" s="16" t="s">
        <v>50</v>
      </c>
      <c r="F28" s="50" t="n">
        <f aca="false">SUM(E21,E22,E24,E26)/2.37</f>
        <v>77.0042194092827</v>
      </c>
      <c r="G28" s="1" t="s">
        <v>51</v>
      </c>
    </row>
    <row r="29" customFormat="false" ht="15" hidden="false" customHeight="false" outlineLevel="0" collapsed="false">
      <c r="A29" s="51" t="n">
        <f aca="false">6+6+2</f>
        <v>14</v>
      </c>
      <c r="B29" s="52" t="n">
        <v>4</v>
      </c>
      <c r="C29" s="53" t="n">
        <v>9.5</v>
      </c>
      <c r="E29" s="20" t="s">
        <v>52</v>
      </c>
      <c r="F29" s="21" t="n">
        <f aca="false">(E21+E22+E24+(E26/117)*120)/2.4</f>
        <v>77.0138888888889</v>
      </c>
      <c r="G29" s="1" t="s">
        <v>53</v>
      </c>
    </row>
    <row r="30" customFormat="false" ht="15" hidden="false" customHeight="false" outlineLevel="0" collapsed="false">
      <c r="A30" s="43" t="n">
        <f aca="false">6+6+2</f>
        <v>14</v>
      </c>
      <c r="B30" s="54" t="n">
        <v>4</v>
      </c>
      <c r="C30" s="3" t="s">
        <v>54</v>
      </c>
      <c r="E30" s="55" t="s">
        <v>52</v>
      </c>
      <c r="F30" s="26" t="n">
        <f aca="false">(E21+E22+E24+(E26+3))/2.4</f>
        <v>77.2916666666667</v>
      </c>
      <c r="G30" s="1" t="s">
        <v>55</v>
      </c>
      <c r="H30" s="56"/>
    </row>
    <row r="31" customFormat="false" ht="15" hidden="false" customHeight="false" outlineLevel="0" collapsed="false">
      <c r="A31" s="43" t="n">
        <f aca="false">6+5.5+2</f>
        <v>13.5</v>
      </c>
      <c r="B31" s="54" t="n">
        <v>5</v>
      </c>
      <c r="C31" s="11" t="n">
        <v>24</v>
      </c>
    </row>
    <row r="32" customFormat="false" ht="15" hidden="false" customHeight="false" outlineLevel="0" collapsed="false">
      <c r="A32" s="57" t="n">
        <f aca="false">6+6+2</f>
        <v>14</v>
      </c>
      <c r="B32" s="54" t="n">
        <v>5</v>
      </c>
      <c r="C32" s="58" t="s">
        <v>56</v>
      </c>
    </row>
    <row r="33" customFormat="false" ht="15" hidden="false" customHeight="false" outlineLevel="0" collapsed="false">
      <c r="A33" s="43" t="n">
        <f aca="false">6+6+2</f>
        <v>14</v>
      </c>
      <c r="B33" s="54" t="n">
        <v>5</v>
      </c>
      <c r="C33" s="59" t="n">
        <f aca="false">(A22+B22+A23+B23+A24+B24+A25+B25+A26+B26)/4</f>
        <v>24.0625</v>
      </c>
    </row>
    <row r="34" customFormat="false" ht="15" hidden="false" customHeight="false" outlineLevel="0" collapsed="false">
      <c r="A34" s="60" t="n">
        <f aca="false">5+6+2</f>
        <v>13</v>
      </c>
      <c r="B34" s="61" t="n">
        <v>5</v>
      </c>
      <c r="C34" s="5" t="n">
        <f aca="false">((C22+C23+C24+C25+C26+C27)*20)/600</f>
        <v>19.1333333333333</v>
      </c>
    </row>
    <row r="35" customFormat="false" ht="15" hidden="false" customHeight="false" outlineLevel="0" collapsed="false">
      <c r="A35" s="29" t="s">
        <v>57</v>
      </c>
      <c r="B35" s="62" t="n">
        <f aca="false">(C33+C34+C35+C29+C31)</f>
        <v>95.1125</v>
      </c>
      <c r="C35" s="11" t="n">
        <f aca="false">(A29+B29+A30+B30+A31+B31+A32+B32+A33+B33+A34+B34)/6</f>
        <v>18.4166666666667</v>
      </c>
    </row>
    <row r="36" customFormat="false" ht="15" hidden="false" customHeight="false" outlineLevel="0" collapsed="false"/>
    <row r="38" customFormat="false" ht="14.25" hidden="false" customHeight="false" outlineLevel="0" collapsed="false">
      <c r="A38" s="63" t="s">
        <v>58</v>
      </c>
    </row>
    <row r="47" s="64" customFormat="true" ht="14.25" hidden="false" customHeight="false" outlineLevel="0" collapsed="false"/>
    <row r="51" customFormat="false" ht="15" hidden="false" customHeight="false" outlineLevel="0" collapsed="false">
      <c r="B51" s="65" t="s">
        <v>59</v>
      </c>
    </row>
    <row r="52" customFormat="false" ht="15" hidden="false" customHeight="false" outlineLevel="0" collapsed="false">
      <c r="A52" s="66" t="s">
        <v>60</v>
      </c>
      <c r="B52" s="67" t="s">
        <v>61</v>
      </c>
      <c r="C52" s="68" t="s">
        <v>62</v>
      </c>
      <c r="D52" s="69" t="s">
        <v>63</v>
      </c>
    </row>
    <row r="53" customFormat="false" ht="15" hidden="false" customHeight="false" outlineLevel="0" collapsed="false">
      <c r="A53" s="70" t="s">
        <v>64</v>
      </c>
      <c r="B53" s="71" t="s">
        <v>0</v>
      </c>
      <c r="C53" s="72" t="s">
        <v>0</v>
      </c>
      <c r="D53" s="73" t="s">
        <v>0</v>
      </c>
    </row>
    <row r="54" customFormat="false" ht="15" hidden="false" customHeight="false" outlineLevel="0" collapsed="false">
      <c r="A54" s="70" t="s">
        <v>65</v>
      </c>
      <c r="B54" s="74" t="s">
        <v>1</v>
      </c>
      <c r="C54" s="75" t="s">
        <v>1</v>
      </c>
      <c r="D54" s="76" t="s">
        <v>2</v>
      </c>
    </row>
    <row r="55" customFormat="false" ht="15" hidden="false" customHeight="false" outlineLevel="0" collapsed="false">
      <c r="A55" s="70" t="s">
        <v>66</v>
      </c>
      <c r="B55" s="77" t="s">
        <v>2</v>
      </c>
      <c r="C55" s="78" t="s">
        <v>34</v>
      </c>
      <c r="D55" s="79" t="s">
        <v>34</v>
      </c>
    </row>
    <row r="56" customFormat="false" ht="15" hidden="false" customHeight="false" outlineLevel="0" collapsed="false">
      <c r="A56" s="70" t="s">
        <v>67</v>
      </c>
      <c r="B56" s="80" t="s">
        <v>34</v>
      </c>
      <c r="C56" s="81" t="s">
        <v>34</v>
      </c>
      <c r="D56" s="79" t="s">
        <v>34</v>
      </c>
    </row>
    <row r="57" customFormat="false" ht="15" hidden="false" customHeight="false" outlineLevel="0" collapsed="false">
      <c r="A57" s="70" t="s">
        <v>68</v>
      </c>
      <c r="B57" s="80" t="s">
        <v>34</v>
      </c>
      <c r="C57" s="82" t="s">
        <v>34</v>
      </c>
      <c r="D57" s="83" t="s">
        <v>34</v>
      </c>
    </row>
    <row r="58" customFormat="false" ht="15" hidden="false" customHeight="false" outlineLevel="0" collapsed="false">
      <c r="A58" s="70" t="s">
        <v>69</v>
      </c>
      <c r="B58" s="84" t="s">
        <v>33</v>
      </c>
      <c r="C58" s="85" t="s">
        <v>33</v>
      </c>
      <c r="D58" s="86" t="s">
        <v>33</v>
      </c>
    </row>
    <row r="59" customFormat="false" ht="15" hidden="false" customHeight="false" outlineLevel="0" collapsed="false">
      <c r="A59" s="87" t="s">
        <v>70</v>
      </c>
      <c r="B59" s="88" t="s">
        <v>33</v>
      </c>
      <c r="C59" s="89"/>
      <c r="D59" s="90"/>
    </row>
    <row r="60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18" activeCellId="0" sqref="G18"/>
    </sheetView>
  </sheetViews>
  <sheetFormatPr defaultColWidth="19.6875" defaultRowHeight="21" zeroHeight="false" outlineLevelRow="0" outlineLevelCol="0"/>
  <cols>
    <col collapsed="false" customWidth="false" hidden="false" outlineLevel="0" max="1024" min="1" style="91" width="19.66"/>
  </cols>
  <sheetData>
    <row r="1" customFormat="false" ht="21" hidden="false" customHeight="true" outlineLevel="0" collapsed="false">
      <c r="A1" s="92" t="s">
        <v>71</v>
      </c>
    </row>
    <row r="3" customFormat="false" ht="21" hidden="false" customHeight="true" outlineLevel="0" collapsed="false">
      <c r="A3" s="93" t="s">
        <v>72</v>
      </c>
      <c r="B3" s="94"/>
    </row>
    <row r="4" customFormat="false" ht="21" hidden="false" customHeight="true" outlineLevel="0" collapsed="false">
      <c r="A4" s="95" t="n">
        <f aca="false">6/6</f>
        <v>1</v>
      </c>
    </row>
    <row r="5" customFormat="false" ht="21" hidden="false" customHeight="true" outlineLevel="0" collapsed="false">
      <c r="A5" s="95"/>
    </row>
    <row r="6" customFormat="false" ht="21" hidden="false" customHeight="true" outlineLevel="0" collapsed="false">
      <c r="A6" s="95"/>
    </row>
    <row r="7" customFormat="false" ht="21" hidden="false" customHeight="true" outlineLevel="0" collapsed="false">
      <c r="A7" s="95"/>
    </row>
    <row r="8" customFormat="false" ht="21" hidden="false" customHeight="true" outlineLevel="0" collapsed="false">
      <c r="A8" s="95"/>
    </row>
    <row r="9" customFormat="false" ht="21" hidden="false" customHeight="true" outlineLevel="0" collapsed="false">
      <c r="A9" s="95"/>
    </row>
    <row r="10" customFormat="false" ht="21" hidden="false" customHeight="true" outlineLevel="0" collapsed="false">
      <c r="A10" s="95"/>
    </row>
    <row r="11" customFormat="false" ht="21" hidden="false" customHeight="true" outlineLevel="0" collapsed="false">
      <c r="A11" s="95"/>
    </row>
    <row r="12" customFormat="false" ht="21" hidden="false" customHeight="true" outlineLevel="0" collapsed="false">
      <c r="A12" s="95"/>
    </row>
    <row r="13" customFormat="false" ht="21" hidden="false" customHeight="true" outlineLevel="0" collapsed="false">
      <c r="A13" s="96"/>
    </row>
    <row r="16" customFormat="false" ht="21" hidden="false" customHeight="true" outlineLevel="0" collapsed="false">
      <c r="A16" s="92" t="s">
        <v>73</v>
      </c>
      <c r="F16" s="92" t="s">
        <v>74</v>
      </c>
    </row>
    <row r="18" customFormat="false" ht="21" hidden="false" customHeight="true" outlineLevel="0" collapsed="false">
      <c r="A18" s="97" t="s">
        <v>75</v>
      </c>
      <c r="B18" s="97"/>
      <c r="C18" s="97"/>
      <c r="D18" s="98" t="s">
        <v>76</v>
      </c>
      <c r="F18" s="93" t="s">
        <v>77</v>
      </c>
    </row>
    <row r="19" customFormat="false" ht="21" hidden="false" customHeight="true" outlineLevel="0" collapsed="false">
      <c r="A19" s="99" t="s">
        <v>78</v>
      </c>
      <c r="B19" s="100" t="s">
        <v>79</v>
      </c>
      <c r="C19" s="101" t="s">
        <v>80</v>
      </c>
      <c r="D19" s="95"/>
      <c r="F19" s="95" t="n">
        <f aca="false">5/10</f>
        <v>0.5</v>
      </c>
    </row>
    <row r="20" customFormat="false" ht="21" hidden="false" customHeight="true" outlineLevel="0" collapsed="false">
      <c r="A20" s="102" t="n">
        <v>4</v>
      </c>
      <c r="B20" s="91" t="n">
        <v>3.5</v>
      </c>
      <c r="C20" s="103" t="n">
        <v>2</v>
      </c>
      <c r="D20" s="95"/>
      <c r="F20" s="104" t="n">
        <f aca="false">8/10</f>
        <v>0.8</v>
      </c>
    </row>
    <row r="21" customFormat="false" ht="21" hidden="false" customHeight="true" outlineLevel="0" collapsed="false">
      <c r="A21" s="102" t="n">
        <v>4</v>
      </c>
      <c r="B21" s="91" t="n">
        <v>3.5</v>
      </c>
      <c r="C21" s="105" t="n">
        <v>2</v>
      </c>
      <c r="D21" s="95"/>
      <c r="F21" s="95"/>
    </row>
    <row r="22" customFormat="false" ht="21" hidden="false" customHeight="true" outlineLevel="0" collapsed="false">
      <c r="A22" s="102"/>
      <c r="C22" s="103"/>
      <c r="D22" s="95"/>
      <c r="F22" s="95"/>
    </row>
    <row r="23" customFormat="false" ht="21" hidden="false" customHeight="true" outlineLevel="0" collapsed="false">
      <c r="A23" s="102"/>
      <c r="C23" s="103"/>
      <c r="D23" s="95"/>
      <c r="F23" s="95"/>
    </row>
    <row r="24" customFormat="false" ht="21" hidden="false" customHeight="true" outlineLevel="0" collapsed="false">
      <c r="A24" s="102"/>
      <c r="C24" s="103"/>
      <c r="D24" s="95"/>
      <c r="F24" s="95"/>
    </row>
    <row r="25" customFormat="false" ht="21" hidden="false" customHeight="true" outlineLevel="0" collapsed="false">
      <c r="A25" s="106"/>
      <c r="B25" s="107"/>
      <c r="C25" s="108"/>
      <c r="D25" s="96"/>
      <c r="F25" s="95"/>
    </row>
    <row r="26" customFormat="false" ht="21" hidden="false" customHeight="true" outlineLevel="0" collapsed="false">
      <c r="D26" s="109" t="s">
        <v>81</v>
      </c>
      <c r="F26" s="95"/>
    </row>
    <row r="27" customFormat="false" ht="21" hidden="false" customHeight="true" outlineLevel="0" collapsed="false">
      <c r="D27" s="110" t="n">
        <v>5</v>
      </c>
      <c r="F27" s="95"/>
    </row>
    <row r="28" customFormat="false" ht="21" hidden="false" customHeight="true" outlineLevel="0" collapsed="false">
      <c r="F28" s="96"/>
    </row>
  </sheetData>
  <mergeCells count="1">
    <mergeCell ref="A18:C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22" colorId="64" zoomScale="107" zoomScaleNormal="107" zoomScalePageLayoutView="100" workbookViewId="0">
      <selection pane="topLeft" activeCell="A16" activeCellId="0" sqref="A16"/>
    </sheetView>
  </sheetViews>
  <sheetFormatPr defaultColWidth="25.6953125" defaultRowHeight="42.75" zeroHeight="false" outlineLevelRow="0" outlineLevelCol="0"/>
  <cols>
    <col collapsed="false" customWidth="false" hidden="false" outlineLevel="0" max="1024" min="1" style="91" width="25.67"/>
  </cols>
  <sheetData>
    <row r="1" customFormat="false" ht="12" hidden="false" customHeight="true" outlineLevel="0" collapsed="false"/>
    <row r="2" s="112" customFormat="true" ht="26.25" hidden="false" customHeight="true" outlineLevel="0" collapsed="false">
      <c r="A2" s="111"/>
      <c r="B2" s="111" t="s">
        <v>82</v>
      </c>
      <c r="C2" s="111" t="s">
        <v>83</v>
      </c>
      <c r="D2" s="111" t="s">
        <v>84</v>
      </c>
      <c r="E2" s="111" t="s">
        <v>85</v>
      </c>
      <c r="F2" s="111" t="s">
        <v>86</v>
      </c>
    </row>
    <row r="3" customFormat="false" ht="42.75" hidden="false" customHeight="true" outlineLevel="0" collapsed="false">
      <c r="A3" s="113" t="s">
        <v>87</v>
      </c>
      <c r="B3" s="114" t="s">
        <v>88</v>
      </c>
      <c r="D3" s="115" t="s">
        <v>88</v>
      </c>
      <c r="F3" s="116"/>
    </row>
    <row r="4" customFormat="false" ht="42.75" hidden="false" customHeight="true" outlineLevel="0" collapsed="false">
      <c r="A4" s="113" t="s">
        <v>89</v>
      </c>
      <c r="B4" s="102"/>
      <c r="C4" s="117" t="s">
        <v>90</v>
      </c>
      <c r="D4" s="118"/>
      <c r="F4" s="103"/>
    </row>
    <row r="5" customFormat="false" ht="42.75" hidden="false" customHeight="true" outlineLevel="0" collapsed="false">
      <c r="A5" s="113" t="s">
        <v>91</v>
      </c>
      <c r="B5" s="102"/>
      <c r="C5" s="119" t="s">
        <v>92</v>
      </c>
      <c r="D5" s="120" t="s">
        <v>92</v>
      </c>
      <c r="E5" s="121" t="s">
        <v>88</v>
      </c>
      <c r="F5" s="122" t="s">
        <v>92</v>
      </c>
    </row>
    <row r="6" customFormat="false" ht="42.75" hidden="false" customHeight="true" outlineLevel="0" collapsed="false">
      <c r="A6" s="113" t="s">
        <v>93</v>
      </c>
      <c r="B6" s="123" t="s">
        <v>94</v>
      </c>
      <c r="D6" s="118"/>
      <c r="F6" s="103"/>
    </row>
    <row r="7" customFormat="false" ht="42.75" hidden="false" customHeight="true" outlineLevel="0" collapsed="false">
      <c r="A7" s="113" t="s">
        <v>95</v>
      </c>
      <c r="B7" s="124" t="s">
        <v>96</v>
      </c>
      <c r="D7" s="125" t="s">
        <v>96</v>
      </c>
      <c r="E7" s="126" t="s">
        <v>96</v>
      </c>
      <c r="F7" s="103"/>
    </row>
    <row r="8" customFormat="false" ht="42.75" hidden="false" customHeight="true" outlineLevel="0" collapsed="false">
      <c r="A8" s="113" t="s">
        <v>97</v>
      </c>
      <c r="B8" s="102"/>
      <c r="D8" s="118"/>
      <c r="F8" s="103"/>
    </row>
    <row r="9" customFormat="false" ht="42.75" hidden="false" customHeight="true" outlineLevel="0" collapsed="false">
      <c r="A9" s="113" t="s">
        <v>98</v>
      </c>
      <c r="B9" s="102"/>
      <c r="C9" s="127" t="s">
        <v>99</v>
      </c>
      <c r="D9" s="118"/>
      <c r="E9" s="127" t="s">
        <v>99</v>
      </c>
      <c r="F9" s="128" t="s">
        <v>100</v>
      </c>
    </row>
    <row r="10" customFormat="false" ht="21.75" hidden="false" customHeight="true" outlineLevel="0" collapsed="false">
      <c r="A10" s="113" t="s">
        <v>101</v>
      </c>
      <c r="B10" s="102"/>
      <c r="C10" s="127"/>
      <c r="D10" s="118"/>
      <c r="E10" s="127"/>
      <c r="F10" s="129" t="s">
        <v>90</v>
      </c>
    </row>
    <row r="11" customFormat="false" ht="22.5" hidden="false" customHeight="true" outlineLevel="0" collapsed="false">
      <c r="A11" s="113" t="s">
        <v>102</v>
      </c>
      <c r="B11" s="130" t="s">
        <v>103</v>
      </c>
      <c r="C11" s="127"/>
      <c r="D11" s="131" t="s">
        <v>103</v>
      </c>
      <c r="E11" s="127"/>
      <c r="F11" s="129"/>
    </row>
    <row r="12" customFormat="false" ht="42.75" hidden="false" customHeight="true" outlineLevel="0" collapsed="false">
      <c r="A12" s="113" t="s">
        <v>104</v>
      </c>
      <c r="B12" s="130"/>
      <c r="C12" s="127"/>
      <c r="D12" s="131"/>
      <c r="E12" s="127"/>
      <c r="F12" s="108"/>
    </row>
    <row r="13" customFormat="false" ht="42.75" hidden="false" customHeight="true" outlineLevel="0" collapsed="false">
      <c r="B13" s="91" t="s">
        <v>105</v>
      </c>
      <c r="C13" s="91" t="s">
        <v>106</v>
      </c>
      <c r="D13" s="91" t="s">
        <v>107</v>
      </c>
      <c r="E13" s="91" t="s">
        <v>106</v>
      </c>
      <c r="F13" s="91" t="s">
        <v>108</v>
      </c>
    </row>
  </sheetData>
  <mergeCells count="5">
    <mergeCell ref="C9:C12"/>
    <mergeCell ref="E9:E12"/>
    <mergeCell ref="F10:F11"/>
    <mergeCell ref="B11:B12"/>
    <mergeCell ref="D11:D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2026-01-11T10:20:47Z</dcterms:created>
  <dc:creator>Ronit Kumar</dc:creator>
  <dc:description/>
  <dc:language>en-US</dc:language>
  <cp:lastModifiedBy/>
  <dcterms:modified xsi:type="dcterms:W3CDTF">2026-01-23T16:45:13Z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