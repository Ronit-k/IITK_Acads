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IITK_acads\4th Sem\"/>
    </mc:Choice>
  </mc:AlternateContent>
  <xr:revisionPtr revIDLastSave="0" documentId="13_ncr:1_{7634A03F-3896-41E1-991A-7C78B9EE8D9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T29" i="1"/>
  <c r="W47" i="1" s="1"/>
  <c r="T30" i="1"/>
  <c r="W48" i="1" s="1"/>
  <c r="X48" i="1" s="1"/>
  <c r="T31" i="1"/>
  <c r="W49" i="1" s="1"/>
  <c r="T33" i="1"/>
  <c r="T37" i="1"/>
  <c r="T38" i="1"/>
  <c r="T39" i="1"/>
  <c r="T40" i="1"/>
  <c r="P14" i="1"/>
  <c r="U14" i="1"/>
  <c r="S14" i="1"/>
  <c r="O18" i="1"/>
  <c r="N15" i="1"/>
  <c r="O19" i="1"/>
  <c r="M57" i="1"/>
  <c r="W57" i="1"/>
  <c r="AB57" i="1"/>
  <c r="AD57" i="1" s="1"/>
  <c r="Z57" i="1"/>
  <c r="Y57" i="1"/>
  <c r="X57" i="1"/>
  <c r="AC43" i="1"/>
  <c r="AD43" i="1"/>
  <c r="AE39" i="1"/>
  <c r="AD39" i="1"/>
  <c r="AC39" i="1"/>
  <c r="AB39" i="1"/>
  <c r="Z39" i="1"/>
  <c r="Y39" i="1"/>
  <c r="X39" i="1"/>
  <c r="W39" i="1"/>
  <c r="Z56" i="1"/>
  <c r="Z60" i="1"/>
  <c r="Z59" i="1"/>
  <c r="Z58" i="1"/>
  <c r="X60" i="1"/>
  <c r="X59" i="1"/>
  <c r="X58" i="1"/>
  <c r="X56" i="1"/>
  <c r="Z32" i="1"/>
  <c r="Z33" i="1"/>
  <c r="Z34" i="1"/>
  <c r="Z35" i="1"/>
  <c r="Z36" i="1"/>
  <c r="Z37" i="1"/>
  <c r="Z38" i="1"/>
  <c r="Z42" i="1"/>
  <c r="Z41" i="1"/>
  <c r="Z40" i="1"/>
  <c r="Y42" i="1"/>
  <c r="Y41" i="1"/>
  <c r="Y40" i="1"/>
  <c r="X42" i="1"/>
  <c r="X41" i="1"/>
  <c r="X40" i="1"/>
  <c r="AE51" i="1"/>
  <c r="AE52" i="1"/>
  <c r="AE53" i="1"/>
  <c r="AE54" i="1"/>
  <c r="AE55" i="1"/>
  <c r="AE56" i="1"/>
  <c r="AE47" i="1"/>
  <c r="AC56" i="1"/>
  <c r="AD60" i="1"/>
  <c r="AD59" i="1"/>
  <c r="AD58" i="1"/>
  <c r="AD49" i="1"/>
  <c r="AD51" i="1"/>
  <c r="AD52" i="1"/>
  <c r="AD53" i="1"/>
  <c r="AD54" i="1"/>
  <c r="AB60" i="1"/>
  <c r="AB59" i="1"/>
  <c r="AB58" i="1"/>
  <c r="AB56" i="1"/>
  <c r="AD56" i="1" s="1"/>
  <c r="AB55" i="1"/>
  <c r="AD55" i="1" s="1"/>
  <c r="AB54" i="1"/>
  <c r="AC54" i="1" s="1"/>
  <c r="AB53" i="1"/>
  <c r="AC53" i="1" s="1"/>
  <c r="AB52" i="1"/>
  <c r="AC52" i="1" s="1"/>
  <c r="AB51" i="1"/>
  <c r="AC51" i="1" s="1"/>
  <c r="AB50" i="1"/>
  <c r="AC50" i="1" s="1"/>
  <c r="AB49" i="1"/>
  <c r="AC49" i="1" s="1"/>
  <c r="AB48" i="1"/>
  <c r="AC48" i="1" s="1"/>
  <c r="AB47" i="1"/>
  <c r="AD47" i="1" s="1"/>
  <c r="Y60" i="1"/>
  <c r="Y59" i="1"/>
  <c r="Y58" i="1"/>
  <c r="W60" i="1"/>
  <c r="W59" i="1"/>
  <c r="W58" i="1"/>
  <c r="Y56" i="1"/>
  <c r="W55" i="1"/>
  <c r="X55" i="1" s="1"/>
  <c r="W50" i="1"/>
  <c r="X50" i="1" s="1"/>
  <c r="W51" i="1"/>
  <c r="X51" i="1" s="1"/>
  <c r="W52" i="1"/>
  <c r="X52" i="1" s="1"/>
  <c r="W53" i="1"/>
  <c r="X53" i="1" s="1"/>
  <c r="W54" i="1"/>
  <c r="X54" i="1" s="1"/>
  <c r="AE42" i="1"/>
  <c r="AE41" i="1"/>
  <c r="AE40" i="1"/>
  <c r="AD42" i="1"/>
  <c r="AD41" i="1"/>
  <c r="AD40" i="1"/>
  <c r="AC42" i="1"/>
  <c r="AC41" i="1"/>
  <c r="AC40" i="1"/>
  <c r="AE30" i="1"/>
  <c r="AE31" i="1"/>
  <c r="AE32" i="1"/>
  <c r="AE33" i="1"/>
  <c r="AE34" i="1"/>
  <c r="AE35" i="1"/>
  <c r="AE36" i="1"/>
  <c r="AE37" i="1"/>
  <c r="AE29" i="1"/>
  <c r="AB38" i="1"/>
  <c r="AC38" i="1" s="1"/>
  <c r="AC30" i="1"/>
  <c r="AC31" i="1"/>
  <c r="AC32" i="1"/>
  <c r="AC33" i="1"/>
  <c r="AC34" i="1"/>
  <c r="AC35" i="1"/>
  <c r="AC36" i="1"/>
  <c r="AC37" i="1"/>
  <c r="AC29" i="1"/>
  <c r="AD37" i="1"/>
  <c r="AD30" i="1"/>
  <c r="AD31" i="1"/>
  <c r="AD32" i="1"/>
  <c r="AD33" i="1"/>
  <c r="AD34" i="1"/>
  <c r="AD35" i="1"/>
  <c r="AD36" i="1"/>
  <c r="AD29" i="1"/>
  <c r="AB42" i="1"/>
  <c r="AB41" i="1"/>
  <c r="AB40" i="1"/>
  <c r="W42" i="1"/>
  <c r="W41" i="1"/>
  <c r="W40" i="1"/>
  <c r="W38" i="1"/>
  <c r="Y38" i="1" s="1"/>
  <c r="W37" i="1"/>
  <c r="X37" i="1" s="1"/>
  <c r="W36" i="1"/>
  <c r="X36" i="1" s="1"/>
  <c r="W35" i="1"/>
  <c r="X35" i="1" s="1"/>
  <c r="W34" i="1"/>
  <c r="X34" i="1" s="1"/>
  <c r="W33" i="1"/>
  <c r="Y33" i="1" s="1"/>
  <c r="W32" i="1"/>
  <c r="Y32" i="1" s="1"/>
  <c r="W31" i="1"/>
  <c r="X31" i="1" s="1"/>
  <c r="W30" i="1"/>
  <c r="Y30" i="1" s="1"/>
  <c r="W29" i="1"/>
  <c r="X29" i="1" s="1"/>
  <c r="S40" i="1"/>
  <c r="B5" i="1"/>
  <c r="B18" i="1"/>
  <c r="B19" i="1"/>
  <c r="B35" i="1"/>
  <c r="B34" i="1"/>
  <c r="B43" i="1" s="1"/>
  <c r="G16" i="1"/>
  <c r="G15" i="1"/>
  <c r="G14" i="1"/>
  <c r="G13" i="1"/>
  <c r="H16" i="1" s="1"/>
  <c r="U13" i="1"/>
  <c r="U12" i="1"/>
  <c r="U4" i="1"/>
  <c r="U5" i="1"/>
  <c r="U6" i="1"/>
  <c r="U7" i="1"/>
  <c r="U8" i="1"/>
  <c r="U9" i="1"/>
  <c r="U10" i="1"/>
  <c r="U3" i="1"/>
  <c r="S13" i="1"/>
  <c r="S12" i="1"/>
  <c r="S4" i="1"/>
  <c r="S5" i="1"/>
  <c r="S6" i="1"/>
  <c r="S7" i="1"/>
  <c r="S8" i="1"/>
  <c r="S9" i="1"/>
  <c r="S10" i="1"/>
  <c r="S3" i="1"/>
  <c r="S38" i="1"/>
  <c r="S39" i="1"/>
  <c r="B15" i="1"/>
  <c r="B4" i="1"/>
  <c r="B3" i="1"/>
  <c r="B16" i="1" s="1"/>
  <c r="B6" i="1"/>
  <c r="S37" i="1"/>
  <c r="S33" i="1"/>
  <c r="S32" i="1"/>
  <c r="S29" i="1"/>
  <c r="O15" i="1"/>
  <c r="P4" i="1"/>
  <c r="P5" i="1"/>
  <c r="P6" i="1"/>
  <c r="P7" i="1"/>
  <c r="P8" i="1"/>
  <c r="P9" i="1"/>
  <c r="P10" i="1"/>
  <c r="P3" i="1"/>
  <c r="P11" i="1" s="1"/>
  <c r="T41" i="1" l="1"/>
  <c r="P16" i="1"/>
  <c r="X47" i="1"/>
  <c r="Y47" i="1"/>
  <c r="Z47" i="1"/>
  <c r="X49" i="1"/>
  <c r="X61" i="1" s="1"/>
  <c r="Y49" i="1"/>
  <c r="Z49" i="1"/>
  <c r="AD50" i="1"/>
  <c r="P43" i="1"/>
  <c r="AD48" i="1"/>
  <c r="AE50" i="1"/>
  <c r="Z31" i="1"/>
  <c r="Z55" i="1"/>
  <c r="AE49" i="1"/>
  <c r="Z30" i="1"/>
  <c r="Z54" i="1"/>
  <c r="AE48" i="1"/>
  <c r="Z53" i="1"/>
  <c r="U15" i="1"/>
  <c r="Y55" i="1"/>
  <c r="AC47" i="1"/>
  <c r="Z52" i="1"/>
  <c r="Y54" i="1"/>
  <c r="Z51" i="1"/>
  <c r="S15" i="1"/>
  <c r="Y53" i="1"/>
  <c r="AC55" i="1"/>
  <c r="AC61" i="1" s="1"/>
  <c r="Z50" i="1"/>
  <c r="Y52" i="1"/>
  <c r="Y51" i="1"/>
  <c r="Z48" i="1"/>
  <c r="Y50" i="1"/>
  <c r="X33" i="1"/>
  <c r="X43" i="1" s="1"/>
  <c r="Y48" i="1"/>
  <c r="S41" i="1"/>
  <c r="X32" i="1"/>
  <c r="Z29" i="1"/>
  <c r="Z43" i="1" s="1"/>
  <c r="AD61" i="1"/>
  <c r="AE61" i="1"/>
  <c r="Y29" i="1"/>
  <c r="AE38" i="1"/>
  <c r="AE43" i="1" s="1"/>
  <c r="Y37" i="1"/>
  <c r="Y36" i="1"/>
  <c r="Y35" i="1"/>
  <c r="X38" i="1"/>
  <c r="Y34" i="1"/>
  <c r="AD38" i="1"/>
  <c r="B14" i="1"/>
  <c r="Y31" i="1"/>
  <c r="X30" i="1"/>
  <c r="Y61" i="1" l="1"/>
  <c r="Y43" i="1"/>
  <c r="Z61" i="1"/>
</calcChain>
</file>

<file path=xl/sharedStrings.xml><?xml version="1.0" encoding="utf-8"?>
<sst xmlns="http://schemas.openxmlformats.org/spreadsheetml/2006/main" count="156" uniqueCount="118">
  <si>
    <t>MSO 201</t>
  </si>
  <si>
    <t>Quiz 1</t>
  </si>
  <si>
    <t>Quiz 2</t>
  </si>
  <si>
    <t>ESO 203</t>
  </si>
  <si>
    <t>Labs (20%)</t>
  </si>
  <si>
    <t>Lab 1</t>
  </si>
  <si>
    <t>Pre-Lab (5)</t>
  </si>
  <si>
    <t>Post-Lab (5)</t>
  </si>
  <si>
    <t>Viva (5)</t>
  </si>
  <si>
    <t>Exp (10)</t>
  </si>
  <si>
    <t>Total (25)</t>
  </si>
  <si>
    <t>Lab 2</t>
  </si>
  <si>
    <t>Lab 3</t>
  </si>
  <si>
    <t>Lab 4</t>
  </si>
  <si>
    <t>Lab 5</t>
  </si>
  <si>
    <t>Lab 6</t>
  </si>
  <si>
    <t>Lab 7</t>
  </si>
  <si>
    <t>Lab 8</t>
  </si>
  <si>
    <t>EE210</t>
  </si>
  <si>
    <t>Marks (10)</t>
  </si>
  <si>
    <t>Mini Quizzes (20%)</t>
  </si>
  <si>
    <t>Major Quizzes (20%)</t>
  </si>
  <si>
    <t>Marks (5%)</t>
  </si>
  <si>
    <t>Quiz 3</t>
  </si>
  <si>
    <t>Quiz 4</t>
  </si>
  <si>
    <t>Major Quizzes (10%)</t>
  </si>
  <si>
    <t>Quiz 5</t>
  </si>
  <si>
    <t>Quiz 6</t>
  </si>
  <si>
    <t>Quiz 7</t>
  </si>
  <si>
    <t>Quiz 8</t>
  </si>
  <si>
    <t>EE250</t>
  </si>
  <si>
    <t>TA211</t>
  </si>
  <si>
    <t>ECO111</t>
  </si>
  <si>
    <t xml:space="preserve">Marks </t>
  </si>
  <si>
    <t>Quiz 9</t>
  </si>
  <si>
    <t>0/2</t>
  </si>
  <si>
    <t>Quizzes (20%) (S/A)</t>
  </si>
  <si>
    <t>4/4</t>
  </si>
  <si>
    <t>Quiz 0</t>
  </si>
  <si>
    <t>2.5%</t>
  </si>
  <si>
    <t>2%</t>
  </si>
  <si>
    <t>1.5/2</t>
  </si>
  <si>
    <t>2/2</t>
  </si>
  <si>
    <t>Quizzes (20%)</t>
  </si>
  <si>
    <t>Marks (10%)</t>
  </si>
  <si>
    <t>Attendance (10%) -&gt;</t>
  </si>
  <si>
    <t>Mid-Sem (30%)      -&gt;</t>
  </si>
  <si>
    <t>End-Sem (50%)      -&gt;</t>
  </si>
  <si>
    <t>End-Sem (40%)         -&gt;</t>
  </si>
  <si>
    <t>Mid-Sem (20%)         -&gt;</t>
  </si>
  <si>
    <t>End-Sem (30%)         -&gt;</t>
  </si>
  <si>
    <t>Matlab Quiz (20%)    -&gt;</t>
  </si>
  <si>
    <t>Mid-Sem (24%)      -&gt;</t>
  </si>
  <si>
    <t>End-Sem (36%)      -&gt;</t>
  </si>
  <si>
    <t>Job Marks (10)</t>
  </si>
  <si>
    <t>-</t>
  </si>
  <si>
    <t>Quiz (8)</t>
  </si>
  <si>
    <t>E2</t>
  </si>
  <si>
    <t>E3</t>
  </si>
  <si>
    <t>E4</t>
  </si>
  <si>
    <t>E5</t>
  </si>
  <si>
    <t>Avg       -&gt;</t>
  </si>
  <si>
    <t>Design Progress</t>
  </si>
  <si>
    <t>Prjt Rprt</t>
  </si>
  <si>
    <t>Design Progress    (10%)</t>
  </si>
  <si>
    <t>Final Prjt Eval        (30%)</t>
  </si>
  <si>
    <t>Prjt Rprt 6th turn (10%)</t>
  </si>
  <si>
    <t>Lab Exam                (20%)</t>
  </si>
  <si>
    <t>Job Marks               (10%)</t>
  </si>
  <si>
    <t>Lab Quiz                  (10%)</t>
  </si>
  <si>
    <t>Prjt Progress          (10%)</t>
  </si>
  <si>
    <t>prev basis</t>
  </si>
  <si>
    <t>Lost = 17.7%</t>
  </si>
  <si>
    <t>Evaluated = 40%</t>
  </si>
  <si>
    <t>Assumption</t>
  </si>
  <si>
    <t xml:space="preserve">  </t>
  </si>
  <si>
    <t>3/5</t>
  </si>
  <si>
    <t>1.2/2</t>
  </si>
  <si>
    <t>6/6</t>
  </si>
  <si>
    <t>1/4</t>
  </si>
  <si>
    <t>0.5/2</t>
  </si>
  <si>
    <t>2/3</t>
  </si>
  <si>
    <t>1.33/2</t>
  </si>
  <si>
    <t xml:space="preserve">Lost = 15.91% </t>
  </si>
  <si>
    <t xml:space="preserve">Evaluated = 44% </t>
  </si>
  <si>
    <t>Evaluated =  54%</t>
  </si>
  <si>
    <r>
      <t xml:space="preserve">Q2 (15) or </t>
    </r>
    <r>
      <rPr>
        <b/>
        <sz val="11"/>
        <color theme="1"/>
        <rFont val="Calibri"/>
        <family val="2"/>
        <scheme val="minor"/>
      </rPr>
      <t>5%</t>
    </r>
  </si>
  <si>
    <r>
      <t xml:space="preserve">Q1 (15) or </t>
    </r>
    <r>
      <rPr>
        <b/>
        <sz val="11"/>
        <color theme="1"/>
        <rFont val="Calibri"/>
        <family val="2"/>
        <scheme val="minor"/>
      </rPr>
      <t>3%</t>
    </r>
  </si>
  <si>
    <r>
      <t>Mid-Sem (30%)</t>
    </r>
    <r>
      <rPr>
        <sz val="11"/>
        <color theme="1"/>
        <rFont val="Calibri"/>
        <family val="2"/>
        <scheme val="minor"/>
      </rPr>
      <t>(22/40)</t>
    </r>
    <r>
      <rPr>
        <b/>
        <sz val="11"/>
        <color theme="1"/>
        <rFont val="Calibri"/>
        <family val="2"/>
        <scheme val="minor"/>
      </rPr>
      <t>-&gt;</t>
    </r>
  </si>
  <si>
    <t>Quiz 10</t>
  </si>
  <si>
    <t>Major Quiz 3 (10%)</t>
  </si>
  <si>
    <t>shashwat</t>
  </si>
  <si>
    <t xml:space="preserve">Lost = 14.9% </t>
  </si>
  <si>
    <t xml:space="preserve">Evaluated = 90% </t>
  </si>
  <si>
    <t>Rigved</t>
  </si>
  <si>
    <t>avg</t>
  </si>
  <si>
    <t>Q2(S) 5.5/25</t>
  </si>
  <si>
    <t>Q1(A) 5/25</t>
  </si>
  <si>
    <t>Q3(A) 15.75/25</t>
  </si>
  <si>
    <t>Q4(A) 8.5/25</t>
  </si>
  <si>
    <t>LabTotal</t>
  </si>
  <si>
    <t>Lost =</t>
  </si>
  <si>
    <r>
      <t xml:space="preserve">Mid-Sem (30%) </t>
    </r>
    <r>
      <rPr>
        <sz val="11"/>
        <color theme="1"/>
        <rFont val="Calibri"/>
        <family val="2"/>
        <scheme val="minor"/>
      </rPr>
      <t>51/100</t>
    </r>
  </si>
  <si>
    <r>
      <t xml:space="preserve">End-Sem (40%) </t>
    </r>
    <r>
      <rPr>
        <sz val="11"/>
        <color theme="1"/>
        <rFont val="Calibri"/>
        <family val="2"/>
        <scheme val="minor"/>
      </rPr>
      <t>47/100</t>
    </r>
    <r>
      <rPr>
        <b/>
        <sz val="11"/>
        <color theme="1"/>
        <rFont val="Calibri"/>
        <family val="2"/>
        <scheme val="minor"/>
      </rPr>
      <t xml:space="preserve"> </t>
    </r>
  </si>
  <si>
    <t>5/8</t>
  </si>
  <si>
    <r>
      <t xml:space="preserve">23/37 = </t>
    </r>
    <r>
      <rPr>
        <b/>
        <sz val="11"/>
        <color theme="1"/>
        <rFont val="Calibri"/>
        <family val="2"/>
        <scheme val="minor"/>
      </rPr>
      <t>12.43%</t>
    </r>
  </si>
  <si>
    <t>17/17</t>
  </si>
  <si>
    <t>Ronit</t>
  </si>
  <si>
    <t>Sarim</t>
  </si>
  <si>
    <t>Best 8</t>
  </si>
  <si>
    <t>3/3</t>
  </si>
  <si>
    <t>40/63</t>
  </si>
  <si>
    <t>Best 9</t>
  </si>
  <si>
    <t>Best 10</t>
  </si>
  <si>
    <t xml:space="preserve">Best 8 </t>
  </si>
  <si>
    <t>Rushabh</t>
  </si>
  <si>
    <t xml:space="preserve">Evaluated = 100% </t>
  </si>
  <si>
    <t>Out of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</si>
</sst>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1" fillId="2" borderId="0" xfId="0" applyFont="1" applyFill="1"/>
    <xf numFmtId="12" fontId="0" fillId="0" borderId="0" xfId="0" applyNumberFormat="1" applyAlignment="1">
      <alignment horizontal="left"/>
    </xf>
    <xf numFmtId="9" fontId="0" fillId="0" borderId="0" xfId="0" applyNumberFormat="1"/>
    <xf numFmtId="16" fontId="0" fillId="0" borderId="0" xfId="0" quotePrefix="1" applyNumberFormat="1"/>
    <xf numFmtId="0" fontId="0" fillId="0" borderId="0" xfId="0" quotePrefix="1"/>
    <xf numFmtId="10" fontId="1" fillId="0" borderId="0" xfId="0" quotePrefix="1" applyNumberFormat="1" applyFont="1"/>
    <xf numFmtId="0" fontId="3" fillId="3" borderId="0" xfId="0" applyFont="1" applyFill="1"/>
    <xf numFmtId="0" fontId="1" fillId="0" borderId="0" xfId="0" quotePrefix="1" applyFont="1"/>
    <xf numFmtId="0" fontId="4" fillId="4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2" xfId="0" applyFont="1" applyBorder="1"/>
    <xf numFmtId="0" fontId="0" fillId="0" borderId="3" xfId="0" applyBorder="1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164" fontId="1" fillId="0" borderId="0" xfId="0" applyNumberFormat="1" applyFont="1"/>
    <xf numFmtId="9" fontId="1" fillId="0" borderId="0" xfId="0" applyNumberFormat="1" applyFont="1"/>
    <xf numFmtId="0" fontId="0" fillId="0" borderId="4" xfId="0" applyBorder="1"/>
    <xf numFmtId="0" fontId="0" fillId="0" borderId="5" xfId="0" applyBorder="1"/>
    <xf numFmtId="0" fontId="5" fillId="0" borderId="0" xfId="0" applyFont="1"/>
    <xf numFmtId="0" fontId="5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0" fillId="7" borderId="0" xfId="0" applyFill="1"/>
    <xf numFmtId="0" fontId="1" fillId="6" borderId="0" xfId="0" quotePrefix="1" applyFont="1" applyFill="1"/>
    <xf numFmtId="10" fontId="1" fillId="6" borderId="0" xfId="0" applyNumberFormat="1" applyFont="1" applyFill="1"/>
    <xf numFmtId="0" fontId="0" fillId="8" borderId="0" xfId="0" applyFill="1"/>
    <xf numFmtId="0" fontId="0" fillId="8" borderId="0" xfId="0" quotePrefix="1" applyFill="1"/>
    <xf numFmtId="0" fontId="0" fillId="0" borderId="8" xfId="0" applyBorder="1"/>
    <xf numFmtId="0" fontId="0" fillId="6" borderId="8" xfId="0" applyFill="1" applyBorder="1"/>
    <xf numFmtId="0" fontId="0" fillId="7" borderId="3" xfId="0" applyFill="1" applyBorder="1"/>
    <xf numFmtId="0" fontId="0" fillId="6" borderId="6" xfId="0" applyFill="1" applyBorder="1"/>
    <xf numFmtId="0" fontId="1" fillId="9" borderId="0" xfId="0" applyFont="1" applyFill="1"/>
    <xf numFmtId="0" fontId="0" fillId="9" borderId="0" xfId="0" quotePrefix="1" applyFill="1"/>
    <xf numFmtId="0" fontId="1" fillId="10" borderId="0" xfId="0" applyFont="1" applyFill="1"/>
    <xf numFmtId="0" fontId="0" fillId="10" borderId="0" xfId="0" applyFill="1"/>
    <xf numFmtId="0" fontId="0" fillId="10" borderId="6" xfId="0" applyFill="1" applyBorder="1"/>
    <xf numFmtId="0" fontId="1" fillId="11" borderId="0" xfId="0" applyFont="1" applyFill="1"/>
    <xf numFmtId="0" fontId="0" fillId="11" borderId="0" xfId="0" quotePrefix="1" applyFill="1"/>
    <xf numFmtId="0" fontId="0" fillId="11" borderId="6" xfId="0" applyFill="1" applyBorder="1"/>
    <xf numFmtId="0" fontId="0" fillId="9" borderId="6" xfId="0" applyFill="1" applyBorder="1"/>
    <xf numFmtId="0" fontId="0" fillId="7" borderId="7" xfId="0" applyFill="1" applyBorder="1"/>
    <xf numFmtId="0" fontId="0" fillId="9" borderId="8" xfId="0" applyFill="1" applyBorder="1"/>
    <xf numFmtId="0" fontId="1" fillId="0" borderId="5" xfId="0" applyFont="1" applyBorder="1"/>
    <xf numFmtId="0" fontId="0" fillId="11" borderId="8" xfId="0" applyFill="1" applyBorder="1"/>
    <xf numFmtId="0" fontId="0" fillId="10" borderId="8" xfId="0" applyFill="1" applyBorder="1"/>
    <xf numFmtId="0" fontId="0" fillId="0" borderId="10" xfId="0" applyBorder="1"/>
    <xf numFmtId="0" fontId="1" fillId="0" borderId="10" xfId="0" applyFont="1" applyBorder="1"/>
    <xf numFmtId="0" fontId="1" fillId="0" borderId="4" xfId="0" applyFont="1" applyBorder="1"/>
    <xf numFmtId="0" fontId="0" fillId="12" borderId="0" xfId="0" applyFill="1"/>
    <xf numFmtId="0" fontId="0" fillId="7" borderId="1" xfId="0" applyFill="1" applyBorder="1"/>
    <xf numFmtId="0" fontId="0" fillId="7" borderId="5" xfId="0" applyFill="1" applyBorder="1"/>
    <xf numFmtId="0" fontId="1" fillId="0" borderId="11" xfId="0" applyFont="1" applyBorder="1"/>
    <xf numFmtId="0" fontId="0" fillId="0" borderId="1" xfId="0" applyBorder="1"/>
    <xf numFmtId="0" fontId="0" fillId="7" borderId="11" xfId="0" applyFill="1" applyBorder="1"/>
    <xf numFmtId="0" fontId="0" fillId="9" borderId="0" xfId="0" applyFill="1"/>
    <xf numFmtId="0" fontId="0" fillId="11" borderId="0" xfId="0" applyFill="1"/>
    <xf numFmtId="0" fontId="0" fillId="0" borderId="2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1"/>
  <sheetViews>
    <sheetView tabSelected="1" topLeftCell="B1" zoomScale="76" zoomScaleNormal="100" workbookViewId="0">
      <selection activeCell="H53" sqref="H53:J61"/>
    </sheetView>
  </sheetViews>
  <sheetFormatPr defaultRowHeight="14.4" x14ac:dyDescent="0.3"/>
  <cols>
    <col min="1" max="1" width="20.5546875" customWidth="1"/>
    <col min="2" max="2" width="14.77734375" customWidth="1"/>
    <col min="6" max="6" width="23.21875" customWidth="1"/>
    <col min="7" max="7" width="13.109375" customWidth="1"/>
    <col min="8" max="8" width="15.77734375" customWidth="1"/>
    <col min="9" max="9" width="7.6640625" customWidth="1"/>
    <col min="10" max="10" width="8.77734375" customWidth="1"/>
    <col min="11" max="11" width="9.5546875" customWidth="1"/>
    <col min="14" max="14" width="22.109375" customWidth="1"/>
    <col min="15" max="15" width="15.5546875" customWidth="1"/>
    <col min="16" max="16" width="18.33203125" customWidth="1"/>
    <col min="17" max="17" width="17.77734375" customWidth="1"/>
    <col min="18" max="18" width="10.77734375" customWidth="1"/>
  </cols>
  <sheetData>
    <row r="1" spans="1:21" ht="15" thickBot="1" x14ac:dyDescent="0.35">
      <c r="A1" s="2" t="s">
        <v>0</v>
      </c>
      <c r="F1" s="2" t="s">
        <v>3</v>
      </c>
      <c r="G1" s="22"/>
      <c r="H1" s="22"/>
      <c r="I1" s="22"/>
      <c r="J1" s="23" t="s">
        <v>74</v>
      </c>
      <c r="K1" s="22"/>
      <c r="N1" s="2" t="s">
        <v>18</v>
      </c>
    </row>
    <row r="2" spans="1:21" ht="15" thickBot="1" x14ac:dyDescent="0.35">
      <c r="A2" s="1" t="s">
        <v>21</v>
      </c>
      <c r="B2" s="1" t="s">
        <v>22</v>
      </c>
      <c r="F2" s="1" t="s">
        <v>4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N2" s="1" t="s">
        <v>20</v>
      </c>
      <c r="O2" s="1" t="s">
        <v>19</v>
      </c>
      <c r="P2" s="7" t="s">
        <v>39</v>
      </c>
      <c r="Q2" s="1"/>
      <c r="R2" s="52" t="s">
        <v>94</v>
      </c>
      <c r="S2" s="21"/>
      <c r="T2" s="52" t="s">
        <v>108</v>
      </c>
      <c r="U2" s="21"/>
    </row>
    <row r="3" spans="1:21" x14ac:dyDescent="0.3">
      <c r="A3" t="s">
        <v>1</v>
      </c>
      <c r="B3">
        <f>20*5/20</f>
        <v>5</v>
      </c>
      <c r="F3" t="s">
        <v>5</v>
      </c>
      <c r="G3">
        <v>5</v>
      </c>
      <c r="H3">
        <v>5</v>
      </c>
      <c r="I3">
        <v>4</v>
      </c>
      <c r="J3" s="24">
        <v>10</v>
      </c>
      <c r="K3">
        <v>24</v>
      </c>
      <c r="N3" t="s">
        <v>1</v>
      </c>
      <c r="O3">
        <v>3.5</v>
      </c>
      <c r="P3">
        <f>O3*0.25</f>
        <v>0.875</v>
      </c>
      <c r="R3" s="50">
        <v>3</v>
      </c>
      <c r="S3" s="32">
        <f>R3*0.25</f>
        <v>0.75</v>
      </c>
      <c r="T3" s="50">
        <v>8</v>
      </c>
      <c r="U3" s="32">
        <f>T3*0.25</f>
        <v>2</v>
      </c>
    </row>
    <row r="4" spans="1:21" x14ac:dyDescent="0.3">
      <c r="A4" t="s">
        <v>2</v>
      </c>
      <c r="B4">
        <f>20*5/20</f>
        <v>5</v>
      </c>
      <c r="F4" t="s">
        <v>11</v>
      </c>
      <c r="G4">
        <v>4</v>
      </c>
      <c r="H4">
        <v>5</v>
      </c>
      <c r="I4">
        <v>4</v>
      </c>
      <c r="J4" s="24">
        <v>10</v>
      </c>
      <c r="K4">
        <v>23</v>
      </c>
      <c r="N4" t="s">
        <v>2</v>
      </c>
      <c r="O4">
        <v>10</v>
      </c>
      <c r="P4">
        <f t="shared" ref="P4:P10" si="0">O4*0.25</f>
        <v>2.5</v>
      </c>
      <c r="R4" s="50">
        <v>9.5</v>
      </c>
      <c r="S4" s="32">
        <f t="shared" ref="S4:S10" si="1">R4*0.25</f>
        <v>2.375</v>
      </c>
      <c r="T4" s="50">
        <v>10</v>
      </c>
      <c r="U4" s="32">
        <f t="shared" ref="U4:U10" si="2">T4*0.25</f>
        <v>2.5</v>
      </c>
    </row>
    <row r="5" spans="1:21" x14ac:dyDescent="0.3">
      <c r="A5" t="s">
        <v>23</v>
      </c>
      <c r="B5">
        <f>8*5/20</f>
        <v>2</v>
      </c>
      <c r="F5" t="s">
        <v>12</v>
      </c>
      <c r="G5">
        <v>5</v>
      </c>
      <c r="H5">
        <v>5</v>
      </c>
      <c r="I5">
        <v>5</v>
      </c>
      <c r="J5" s="24">
        <v>10</v>
      </c>
      <c r="K5">
        <v>25</v>
      </c>
      <c r="N5" t="s">
        <v>23</v>
      </c>
      <c r="O5">
        <v>6</v>
      </c>
      <c r="P5">
        <f t="shared" si="0"/>
        <v>1.5</v>
      </c>
      <c r="R5" s="50">
        <v>7</v>
      </c>
      <c r="S5" s="32">
        <f t="shared" si="1"/>
        <v>1.75</v>
      </c>
      <c r="T5" s="50">
        <v>10</v>
      </c>
      <c r="U5" s="32">
        <f t="shared" si="2"/>
        <v>2.5</v>
      </c>
    </row>
    <row r="6" spans="1:21" x14ac:dyDescent="0.3">
      <c r="A6" t="s">
        <v>24</v>
      </c>
      <c r="B6">
        <f>11*5/20</f>
        <v>2.75</v>
      </c>
      <c r="F6" t="s">
        <v>13</v>
      </c>
      <c r="G6">
        <v>5</v>
      </c>
      <c r="H6">
        <v>5</v>
      </c>
      <c r="I6">
        <v>5</v>
      </c>
      <c r="J6" s="24">
        <v>10</v>
      </c>
      <c r="K6">
        <v>25</v>
      </c>
      <c r="N6" t="s">
        <v>24</v>
      </c>
      <c r="O6">
        <v>10</v>
      </c>
      <c r="P6">
        <f t="shared" si="0"/>
        <v>2.5</v>
      </c>
      <c r="R6" s="50">
        <v>3.5</v>
      </c>
      <c r="S6" s="32">
        <f t="shared" si="1"/>
        <v>0.875</v>
      </c>
      <c r="T6" s="50">
        <v>7</v>
      </c>
      <c r="U6" s="32">
        <f t="shared" si="2"/>
        <v>1.75</v>
      </c>
    </row>
    <row r="7" spans="1:21" x14ac:dyDescent="0.3">
      <c r="F7" t="s">
        <v>14</v>
      </c>
      <c r="G7">
        <v>5</v>
      </c>
      <c r="H7">
        <v>5</v>
      </c>
      <c r="I7">
        <v>3.5</v>
      </c>
      <c r="J7" s="24">
        <v>10</v>
      </c>
      <c r="K7">
        <v>23.5</v>
      </c>
      <c r="N7" t="s">
        <v>26</v>
      </c>
      <c r="O7">
        <v>9</v>
      </c>
      <c r="P7">
        <f t="shared" si="0"/>
        <v>2.25</v>
      </c>
      <c r="R7" s="50">
        <v>8.5</v>
      </c>
      <c r="S7" s="32">
        <f t="shared" si="1"/>
        <v>2.125</v>
      </c>
      <c r="T7" s="50">
        <v>10</v>
      </c>
      <c r="U7" s="32">
        <f t="shared" si="2"/>
        <v>2.5</v>
      </c>
    </row>
    <row r="8" spans="1:21" x14ac:dyDescent="0.3">
      <c r="F8" t="s">
        <v>15</v>
      </c>
      <c r="G8">
        <v>5</v>
      </c>
      <c r="H8">
        <v>5</v>
      </c>
      <c r="I8" s="23" t="s">
        <v>71</v>
      </c>
      <c r="J8" s="24">
        <v>10</v>
      </c>
      <c r="K8" s="24">
        <v>24</v>
      </c>
      <c r="N8" t="s">
        <v>27</v>
      </c>
      <c r="O8">
        <v>8</v>
      </c>
      <c r="P8">
        <f t="shared" si="0"/>
        <v>2</v>
      </c>
      <c r="R8" s="50">
        <v>5.5</v>
      </c>
      <c r="S8" s="32">
        <f t="shared" si="1"/>
        <v>1.375</v>
      </c>
      <c r="T8" s="50">
        <v>5</v>
      </c>
      <c r="U8" s="32">
        <f t="shared" si="2"/>
        <v>1.25</v>
      </c>
    </row>
    <row r="9" spans="1:21" x14ac:dyDescent="0.3">
      <c r="F9" t="s">
        <v>16</v>
      </c>
      <c r="G9">
        <v>5</v>
      </c>
      <c r="H9">
        <v>5</v>
      </c>
      <c r="I9">
        <v>3</v>
      </c>
      <c r="J9" s="24">
        <v>10</v>
      </c>
      <c r="K9">
        <v>23</v>
      </c>
      <c r="N9" t="s">
        <v>28</v>
      </c>
      <c r="O9">
        <v>3</v>
      </c>
      <c r="P9">
        <f t="shared" si="0"/>
        <v>0.75</v>
      </c>
      <c r="R9" s="50">
        <v>7.5</v>
      </c>
      <c r="S9" s="32">
        <f t="shared" si="1"/>
        <v>1.875</v>
      </c>
      <c r="T9" s="50">
        <v>9</v>
      </c>
      <c r="U9" s="32">
        <f t="shared" si="2"/>
        <v>2.25</v>
      </c>
    </row>
    <row r="10" spans="1:21" x14ac:dyDescent="0.3">
      <c r="F10" t="s">
        <v>17</v>
      </c>
      <c r="G10">
        <v>5</v>
      </c>
      <c r="H10">
        <v>5</v>
      </c>
      <c r="I10">
        <v>4</v>
      </c>
      <c r="J10" s="24">
        <v>10</v>
      </c>
      <c r="K10">
        <v>24</v>
      </c>
      <c r="N10" t="s">
        <v>29</v>
      </c>
      <c r="O10">
        <v>6</v>
      </c>
      <c r="P10">
        <f t="shared" si="0"/>
        <v>1.5</v>
      </c>
      <c r="R10" s="50">
        <v>3.5</v>
      </c>
      <c r="S10" s="32">
        <f t="shared" si="1"/>
        <v>0.875</v>
      </c>
      <c r="T10" s="50">
        <v>7.5</v>
      </c>
      <c r="U10" s="32">
        <f t="shared" si="2"/>
        <v>1.875</v>
      </c>
    </row>
    <row r="11" spans="1:21" x14ac:dyDescent="0.3">
      <c r="H11" s="53" t="s">
        <v>100</v>
      </c>
      <c r="I11" s="53">
        <v>19.25</v>
      </c>
      <c r="P11" s="1">
        <f>SUM(P3:P10)</f>
        <v>13.875</v>
      </c>
      <c r="R11" s="51"/>
      <c r="S11" s="32">
        <v>5</v>
      </c>
      <c r="T11" s="50"/>
      <c r="U11" s="32">
        <v>5</v>
      </c>
    </row>
    <row r="12" spans="1:21" x14ac:dyDescent="0.3">
      <c r="F12" s="1" t="s">
        <v>36</v>
      </c>
      <c r="N12" s="25" t="s">
        <v>25</v>
      </c>
      <c r="O12" s="26"/>
      <c r="R12" s="51"/>
      <c r="S12" s="32">
        <f>6.5*5/15</f>
        <v>2.1666666666666665</v>
      </c>
      <c r="T12" s="50"/>
      <c r="U12" s="32">
        <f>4.5/3</f>
        <v>1.5</v>
      </c>
    </row>
    <row r="13" spans="1:21" x14ac:dyDescent="0.3">
      <c r="F13" t="s">
        <v>97</v>
      </c>
      <c r="G13">
        <f>5*5/25</f>
        <v>1</v>
      </c>
      <c r="N13" s="26" t="s">
        <v>87</v>
      </c>
      <c r="O13" s="26" t="s">
        <v>86</v>
      </c>
      <c r="R13" s="51"/>
      <c r="S13" s="32">
        <f>24.5*30/40</f>
        <v>18.375</v>
      </c>
      <c r="T13" s="50"/>
      <c r="U13" s="32">
        <f>26*0.75</f>
        <v>19.5</v>
      </c>
    </row>
    <row r="14" spans="1:21" x14ac:dyDescent="0.3">
      <c r="B14" s="8" t="str">
        <f>"Lost = "&amp;50-SUM(B3:B6,B18:B19)&amp;"%"</f>
        <v>Lost = -13.5%</v>
      </c>
      <c r="F14" t="s">
        <v>96</v>
      </c>
      <c r="G14">
        <f>5.5*5/25</f>
        <v>1.1000000000000001</v>
      </c>
      <c r="H14" s="8" t="s">
        <v>101</v>
      </c>
      <c r="J14" t="s">
        <v>75</v>
      </c>
      <c r="N14" s="26">
        <v>9</v>
      </c>
      <c r="O14" s="26">
        <v>4</v>
      </c>
      <c r="P14" s="8" t="str">
        <f>"Lost = "&amp;100-SUM(P11,O15,N15,O18,O19)&amp;"%"</f>
        <v>Lost = 35.625%</v>
      </c>
      <c r="R14" s="51"/>
      <c r="S14" s="32">
        <f>42.5*40/60</f>
        <v>28.333333333333332</v>
      </c>
      <c r="T14" s="50"/>
      <c r="U14" s="32">
        <f>46*40/60</f>
        <v>30.666666666666668</v>
      </c>
    </row>
    <row r="15" spans="1:21" ht="15" thickBot="1" x14ac:dyDescent="0.35">
      <c r="B15" s="10" t="str">
        <f>"Evaluated = "&amp;50&amp;"%"</f>
        <v>Evaluated = 50%</v>
      </c>
      <c r="F15" t="s">
        <v>98</v>
      </c>
      <c r="G15">
        <f>15.75*5/25</f>
        <v>3.15</v>
      </c>
      <c r="H15" s="10" t="s">
        <v>85</v>
      </c>
      <c r="N15" s="25">
        <f>N14/3</f>
        <v>3</v>
      </c>
      <c r="O15" s="25">
        <f>O14/3</f>
        <v>1.3333333333333333</v>
      </c>
      <c r="P15" s="10" t="s">
        <v>116</v>
      </c>
      <c r="R15" s="13"/>
      <c r="S15" s="34">
        <f>SUM(S3:S14)</f>
        <v>65.875</v>
      </c>
      <c r="T15" s="61"/>
      <c r="U15" s="34">
        <f>SUM(U3:U14)</f>
        <v>73.291666666666671</v>
      </c>
    </row>
    <row r="16" spans="1:21" x14ac:dyDescent="0.3">
      <c r="B16" s="27" t="str">
        <f>"Total = "&amp;SUM(B3:B6,B18:B19)&amp;"%"</f>
        <v>Total = 63.5%</v>
      </c>
      <c r="F16" t="s">
        <v>99</v>
      </c>
      <c r="G16">
        <f>8.5*5/25</f>
        <v>1.7</v>
      </c>
      <c r="H16" s="27" t="str">
        <f>"Total = "&amp;SUM(G13:G16,G18:G19,I11)&amp;"%"</f>
        <v>Total = 77.95%</v>
      </c>
      <c r="P16" s="27" t="str">
        <f>"Total = "&amp;SUM(P11,O15,N15,O18,O19)&amp;"%"</f>
        <v>Total = 64.375%</v>
      </c>
      <c r="R16" s="1"/>
    </row>
    <row r="17" spans="1:31" x14ac:dyDescent="0.3">
      <c r="A17" t="s">
        <v>117</v>
      </c>
      <c r="B17">
        <f>5*38+4*50+2*(20+20+8+11)</f>
        <v>508</v>
      </c>
      <c r="R17" s="1"/>
    </row>
    <row r="18" spans="1:31" x14ac:dyDescent="0.3">
      <c r="A18" s="1" t="s">
        <v>46</v>
      </c>
      <c r="B18">
        <f>50*30/60</f>
        <v>25</v>
      </c>
      <c r="F18" s="1" t="s">
        <v>52</v>
      </c>
      <c r="G18" s="1">
        <v>19.75</v>
      </c>
      <c r="N18" s="1" t="s">
        <v>88</v>
      </c>
      <c r="O18" s="1">
        <f>22*30/40</f>
        <v>16.5</v>
      </c>
      <c r="R18" s="1"/>
    </row>
    <row r="19" spans="1:31" x14ac:dyDescent="0.3">
      <c r="A19" s="1" t="s">
        <v>47</v>
      </c>
      <c r="B19">
        <f>38*50/80</f>
        <v>23.75</v>
      </c>
      <c r="F19" s="1" t="s">
        <v>53</v>
      </c>
      <c r="G19" s="1">
        <v>32</v>
      </c>
      <c r="N19" s="1" t="s">
        <v>48</v>
      </c>
      <c r="O19" s="1">
        <f>44.5*40/60</f>
        <v>29.666666666666668</v>
      </c>
      <c r="R19" s="1"/>
    </row>
    <row r="26" spans="1:31" ht="15" thickBot="1" x14ac:dyDescent="0.35">
      <c r="A26" s="2" t="s">
        <v>32</v>
      </c>
      <c r="F26" s="2" t="s">
        <v>31</v>
      </c>
      <c r="N26" s="2" t="s">
        <v>30</v>
      </c>
    </row>
    <row r="27" spans="1:31" ht="15" thickBot="1" x14ac:dyDescent="0.35">
      <c r="F27" s="1" t="s">
        <v>4</v>
      </c>
      <c r="G27" s="1" t="s">
        <v>56</v>
      </c>
      <c r="H27" s="1" t="s">
        <v>54</v>
      </c>
      <c r="J27" s="15" t="s">
        <v>62</v>
      </c>
      <c r="K27" s="15"/>
      <c r="N27" s="1" t="s">
        <v>20</v>
      </c>
      <c r="O27" s="1" t="s">
        <v>33</v>
      </c>
      <c r="P27" s="9" t="s">
        <v>40</v>
      </c>
    </row>
    <row r="28" spans="1:31" ht="15" thickBot="1" x14ac:dyDescent="0.35">
      <c r="A28" s="1" t="s">
        <v>43</v>
      </c>
      <c r="B28" s="1" t="s">
        <v>44</v>
      </c>
      <c r="C28" s="4"/>
      <c r="F28" t="s">
        <v>5</v>
      </c>
      <c r="G28" s="11" t="s">
        <v>55</v>
      </c>
      <c r="H28">
        <v>9</v>
      </c>
      <c r="J28" s="16" t="s">
        <v>57</v>
      </c>
      <c r="K28" s="16">
        <v>8</v>
      </c>
      <c r="N28" t="s">
        <v>38</v>
      </c>
      <c r="O28" s="3">
        <v>0.75</v>
      </c>
      <c r="P28" t="s">
        <v>41</v>
      </c>
      <c r="Q28" s="57"/>
      <c r="R28" s="57"/>
      <c r="S28" s="15" t="s">
        <v>91</v>
      </c>
      <c r="T28" s="15" t="s">
        <v>94</v>
      </c>
      <c r="U28" s="1" t="s">
        <v>95</v>
      </c>
      <c r="W28" s="15" t="s">
        <v>107</v>
      </c>
      <c r="X28" s="15" t="s">
        <v>109</v>
      </c>
      <c r="Y28" s="56" t="s">
        <v>112</v>
      </c>
      <c r="Z28" s="15" t="s">
        <v>113</v>
      </c>
      <c r="AB28" s="15" t="s">
        <v>108</v>
      </c>
      <c r="AC28" s="56" t="s">
        <v>109</v>
      </c>
      <c r="AD28" s="15" t="s">
        <v>112</v>
      </c>
      <c r="AE28" s="47" t="s">
        <v>113</v>
      </c>
    </row>
    <row r="29" spans="1:31" x14ac:dyDescent="0.3">
      <c r="A29" t="s">
        <v>1</v>
      </c>
      <c r="B29">
        <v>7</v>
      </c>
      <c r="F29" t="s">
        <v>11</v>
      </c>
      <c r="G29">
        <v>7.5</v>
      </c>
      <c r="H29" s="12">
        <v>10</v>
      </c>
      <c r="J29" s="16" t="s">
        <v>58</v>
      </c>
      <c r="K29" s="16">
        <v>8</v>
      </c>
      <c r="N29" t="s">
        <v>1</v>
      </c>
      <c r="O29" s="30" t="s">
        <v>35</v>
      </c>
      <c r="P29" s="30" t="s">
        <v>35</v>
      </c>
      <c r="Q29" s="62"/>
      <c r="R29" s="62"/>
      <c r="S29" s="16">
        <f>3/4 * 2.5</f>
        <v>1.875</v>
      </c>
      <c r="T29" s="32">
        <f>3*2.5/4</f>
        <v>1.875</v>
      </c>
      <c r="W29" s="16">
        <f>3/4</f>
        <v>0.75</v>
      </c>
      <c r="X29" s="16">
        <f>W29*2.5</f>
        <v>1.875</v>
      </c>
      <c r="Y29">
        <f>W29*(20/9)</f>
        <v>1.6666666666666667</v>
      </c>
      <c r="Z29" s="16">
        <f>W29*2</f>
        <v>1.5</v>
      </c>
      <c r="AB29" s="16">
        <v>1</v>
      </c>
      <c r="AC29">
        <f>AB29*2.5</f>
        <v>2.5</v>
      </c>
      <c r="AD29" s="16">
        <f t="shared" ref="AD29:AD38" si="3">AB29*(20/9)</f>
        <v>2.2222222222222223</v>
      </c>
      <c r="AE29" s="32">
        <f>AB29*2</f>
        <v>2</v>
      </c>
    </row>
    <row r="30" spans="1:31" x14ac:dyDescent="0.3">
      <c r="A30" t="s">
        <v>2</v>
      </c>
      <c r="B30">
        <v>8</v>
      </c>
      <c r="F30" t="s">
        <v>12</v>
      </c>
      <c r="G30">
        <v>4</v>
      </c>
      <c r="H30">
        <v>9</v>
      </c>
      <c r="J30" s="16" t="s">
        <v>59</v>
      </c>
      <c r="K30" s="16">
        <v>9</v>
      </c>
      <c r="N30" t="s">
        <v>2</v>
      </c>
      <c r="O30" s="5" t="s">
        <v>37</v>
      </c>
      <c r="P30" s="6" t="s">
        <v>42</v>
      </c>
      <c r="Q30" s="16"/>
      <c r="R30" s="16"/>
      <c r="S30" s="16">
        <v>1.25</v>
      </c>
      <c r="T30" s="32">
        <f>1*2.5/2</f>
        <v>1.25</v>
      </c>
      <c r="W30" s="16">
        <f>0/2</f>
        <v>0</v>
      </c>
      <c r="X30" s="16">
        <f t="shared" ref="X30:X38" si="4">W30*2.5</f>
        <v>0</v>
      </c>
      <c r="Y30">
        <f t="shared" ref="Y30:Y38" si="5">W30*(20/9)</f>
        <v>0</v>
      </c>
      <c r="Z30" s="16">
        <f t="shared" ref="Z30:Z38" si="6">W30*2</f>
        <v>0</v>
      </c>
      <c r="AB30" s="16">
        <v>1</v>
      </c>
      <c r="AC30">
        <f t="shared" ref="AC30:AC38" si="7">AB30*2.5</f>
        <v>2.5</v>
      </c>
      <c r="AD30" s="16">
        <f t="shared" si="3"/>
        <v>2.2222222222222223</v>
      </c>
      <c r="AE30" s="32">
        <f t="shared" ref="AE30:AE38" si="8">AB30*2</f>
        <v>2</v>
      </c>
    </row>
    <row r="31" spans="1:31" ht="15" thickBot="1" x14ac:dyDescent="0.35">
      <c r="F31" t="s">
        <v>13</v>
      </c>
      <c r="G31">
        <v>8</v>
      </c>
      <c r="H31">
        <v>10</v>
      </c>
      <c r="J31" s="17" t="s">
        <v>60</v>
      </c>
      <c r="K31" s="17">
        <v>10</v>
      </c>
      <c r="N31" s="25" t="s">
        <v>90</v>
      </c>
      <c r="O31" s="28" t="s">
        <v>104</v>
      </c>
      <c r="P31" s="29">
        <v>7.1400000000000005E-2</v>
      </c>
      <c r="Q31" s="16"/>
      <c r="R31" s="16"/>
      <c r="S31" s="16">
        <v>2.5</v>
      </c>
      <c r="T31" s="32">
        <f>4*2.5/4</f>
        <v>2.5</v>
      </c>
      <c r="W31" s="16">
        <f>4/4</f>
        <v>1</v>
      </c>
      <c r="X31" s="16">
        <f t="shared" si="4"/>
        <v>2.5</v>
      </c>
      <c r="Y31">
        <f t="shared" si="5"/>
        <v>2.2222222222222223</v>
      </c>
      <c r="Z31" s="16">
        <f t="shared" si="6"/>
        <v>2</v>
      </c>
      <c r="AB31" s="16">
        <v>1</v>
      </c>
      <c r="AC31">
        <f t="shared" si="7"/>
        <v>2.5</v>
      </c>
      <c r="AD31" s="16">
        <f t="shared" si="3"/>
        <v>2.2222222222222223</v>
      </c>
      <c r="AE31" s="32">
        <f t="shared" si="8"/>
        <v>2</v>
      </c>
    </row>
    <row r="32" spans="1:31" ht="15" thickBot="1" x14ac:dyDescent="0.35">
      <c r="F32" t="s">
        <v>14</v>
      </c>
      <c r="G32">
        <v>5.5</v>
      </c>
      <c r="H32">
        <v>9</v>
      </c>
      <c r="J32" s="13" t="s">
        <v>61</v>
      </c>
      <c r="K32" s="14">
        <v>8.6999999999999993</v>
      </c>
      <c r="N32" t="s">
        <v>24</v>
      </c>
      <c r="O32" s="31" t="s">
        <v>79</v>
      </c>
      <c r="P32" s="30" t="s">
        <v>80</v>
      </c>
      <c r="Q32" s="16"/>
      <c r="R32" s="16"/>
      <c r="S32" s="16">
        <f>4/6 * 2.5</f>
        <v>1.6666666666666665</v>
      </c>
      <c r="T32" s="32">
        <v>1.25</v>
      </c>
      <c r="W32" s="16">
        <f>1/4</f>
        <v>0.25</v>
      </c>
      <c r="X32" s="16">
        <f t="shared" si="4"/>
        <v>0.625</v>
      </c>
      <c r="Y32">
        <f t="shared" si="5"/>
        <v>0.55555555555555558</v>
      </c>
      <c r="Z32" s="16">
        <f t="shared" si="6"/>
        <v>0.5</v>
      </c>
      <c r="AB32" s="16">
        <v>1</v>
      </c>
      <c r="AC32">
        <f t="shared" si="7"/>
        <v>2.5</v>
      </c>
      <c r="AD32" s="16">
        <f t="shared" si="3"/>
        <v>2.2222222222222223</v>
      </c>
      <c r="AE32" s="32">
        <f t="shared" si="8"/>
        <v>2</v>
      </c>
    </row>
    <row r="33" spans="1:31" ht="15" thickBot="1" x14ac:dyDescent="0.35">
      <c r="F33" t="s">
        <v>15</v>
      </c>
      <c r="G33">
        <v>5</v>
      </c>
      <c r="H33" s="11" t="s">
        <v>55</v>
      </c>
      <c r="J33" s="20" t="s">
        <v>63</v>
      </c>
      <c r="K33" s="21">
        <v>8.5</v>
      </c>
      <c r="N33" t="s">
        <v>26</v>
      </c>
      <c r="O33" s="6" t="s">
        <v>78</v>
      </c>
      <c r="P33" s="5" t="s">
        <v>42</v>
      </c>
      <c r="Q33" s="16"/>
      <c r="R33" s="16"/>
      <c r="S33" s="16">
        <f>4/5 * 2.5</f>
        <v>2</v>
      </c>
      <c r="T33" s="32">
        <f>4*2.5/5</f>
        <v>2</v>
      </c>
      <c r="W33" s="16">
        <f>6/6</f>
        <v>1</v>
      </c>
      <c r="X33" s="16">
        <f t="shared" si="4"/>
        <v>2.5</v>
      </c>
      <c r="Y33">
        <f t="shared" si="5"/>
        <v>2.2222222222222223</v>
      </c>
      <c r="Z33" s="16">
        <f t="shared" si="6"/>
        <v>2</v>
      </c>
      <c r="AB33" s="16">
        <v>1</v>
      </c>
      <c r="AC33">
        <f t="shared" si="7"/>
        <v>2.5</v>
      </c>
      <c r="AD33" s="16">
        <f t="shared" si="3"/>
        <v>2.2222222222222223</v>
      </c>
      <c r="AE33" s="32">
        <f t="shared" si="8"/>
        <v>2</v>
      </c>
    </row>
    <row r="34" spans="1:31" x14ac:dyDescent="0.3">
      <c r="A34" s="1" t="s">
        <v>102</v>
      </c>
      <c r="B34" s="9">
        <f>51*30/100</f>
        <v>15.3</v>
      </c>
      <c r="N34" t="s">
        <v>27</v>
      </c>
      <c r="O34" s="6" t="s">
        <v>76</v>
      </c>
      <c r="P34" t="s">
        <v>77</v>
      </c>
      <c r="Q34" s="16"/>
      <c r="R34" s="16"/>
      <c r="S34" s="16">
        <v>2.5</v>
      </c>
      <c r="T34" s="32">
        <v>2.5</v>
      </c>
      <c r="W34" s="16">
        <f>3/5</f>
        <v>0.6</v>
      </c>
      <c r="X34" s="16">
        <f t="shared" si="4"/>
        <v>1.5</v>
      </c>
      <c r="Y34">
        <f t="shared" si="5"/>
        <v>1.3333333333333333</v>
      </c>
      <c r="Z34" s="16">
        <f t="shared" si="6"/>
        <v>1.2</v>
      </c>
      <c r="AB34" s="16">
        <v>0.5</v>
      </c>
      <c r="AC34">
        <f t="shared" si="7"/>
        <v>1.25</v>
      </c>
      <c r="AD34" s="16">
        <f t="shared" si="3"/>
        <v>1.1111111111111112</v>
      </c>
      <c r="AE34" s="32">
        <f t="shared" si="8"/>
        <v>1</v>
      </c>
    </row>
    <row r="35" spans="1:31" x14ac:dyDescent="0.3">
      <c r="A35" s="1" t="s">
        <v>103</v>
      </c>
      <c r="B35" s="9">
        <f>47*40/100</f>
        <v>18.8</v>
      </c>
      <c r="F35" s="1" t="s">
        <v>69</v>
      </c>
      <c r="G35" s="18">
        <v>7.4999999999999997E-2</v>
      </c>
      <c r="N35" t="s">
        <v>28</v>
      </c>
      <c r="O35" s="6" t="s">
        <v>81</v>
      </c>
      <c r="P35" t="s">
        <v>82</v>
      </c>
      <c r="Q35" s="16"/>
      <c r="R35" s="16"/>
      <c r="S35" s="16">
        <v>2.5</v>
      </c>
      <c r="T35" s="32">
        <v>2.5</v>
      </c>
      <c r="W35" s="16">
        <f>2/3</f>
        <v>0.66666666666666663</v>
      </c>
      <c r="X35" s="16">
        <f t="shared" si="4"/>
        <v>1.6666666666666665</v>
      </c>
      <c r="Y35">
        <f t="shared" si="5"/>
        <v>1.4814814814814814</v>
      </c>
      <c r="Z35" s="16">
        <f t="shared" si="6"/>
        <v>1.3333333333333333</v>
      </c>
      <c r="AB35" s="16">
        <v>0.5</v>
      </c>
      <c r="AC35">
        <f t="shared" si="7"/>
        <v>1.25</v>
      </c>
      <c r="AD35" s="16">
        <f t="shared" si="3"/>
        <v>1.1111111111111112</v>
      </c>
      <c r="AE35" s="32">
        <f t="shared" si="8"/>
        <v>1</v>
      </c>
    </row>
    <row r="36" spans="1:31" x14ac:dyDescent="0.3">
      <c r="A36" s="1" t="s">
        <v>45</v>
      </c>
      <c r="B36" s="1">
        <v>10</v>
      </c>
      <c r="F36" s="1" t="s">
        <v>68</v>
      </c>
      <c r="G36" s="18">
        <v>9.4E-2</v>
      </c>
      <c r="N36" t="s">
        <v>29</v>
      </c>
      <c r="O36" s="6" t="s">
        <v>37</v>
      </c>
      <c r="P36" s="6" t="s">
        <v>42</v>
      </c>
      <c r="Q36" s="16"/>
      <c r="R36" s="16"/>
      <c r="S36" s="16">
        <v>2.5</v>
      </c>
      <c r="T36" s="32">
        <v>2.5</v>
      </c>
      <c r="W36" s="16">
        <f>4/4</f>
        <v>1</v>
      </c>
      <c r="X36" s="16">
        <f t="shared" si="4"/>
        <v>2.5</v>
      </c>
      <c r="Y36">
        <f t="shared" si="5"/>
        <v>2.2222222222222223</v>
      </c>
      <c r="Z36" s="16">
        <f t="shared" si="6"/>
        <v>2</v>
      </c>
      <c r="AB36" s="16">
        <v>0.5</v>
      </c>
      <c r="AC36">
        <f t="shared" si="7"/>
        <v>1.25</v>
      </c>
      <c r="AD36" s="16">
        <f t="shared" si="3"/>
        <v>1.1111111111111112</v>
      </c>
      <c r="AE36" s="32">
        <f t="shared" si="8"/>
        <v>1</v>
      </c>
    </row>
    <row r="37" spans="1:31" x14ac:dyDescent="0.3">
      <c r="F37" s="1" t="s">
        <v>67</v>
      </c>
      <c r="G37" s="19">
        <v>0.17</v>
      </c>
      <c r="N37" t="s">
        <v>34</v>
      </c>
      <c r="O37" s="6" t="s">
        <v>110</v>
      </c>
      <c r="Q37" s="16"/>
      <c r="R37" s="16"/>
      <c r="S37" s="35">
        <f>4/7 * 10</f>
        <v>5.7142857142857135</v>
      </c>
      <c r="T37" s="33">
        <f>4*10/8</f>
        <v>5</v>
      </c>
      <c r="W37" s="16">
        <f>3/3</f>
        <v>1</v>
      </c>
      <c r="X37" s="16">
        <f t="shared" si="4"/>
        <v>2.5</v>
      </c>
      <c r="Y37">
        <f t="shared" si="5"/>
        <v>2.2222222222222223</v>
      </c>
      <c r="Z37" s="16">
        <f t="shared" si="6"/>
        <v>2</v>
      </c>
      <c r="AB37" s="16">
        <v>0.25</v>
      </c>
      <c r="AC37">
        <f t="shared" si="7"/>
        <v>0.625</v>
      </c>
      <c r="AD37" s="16">
        <f t="shared" si="3"/>
        <v>0.55555555555555558</v>
      </c>
      <c r="AE37" s="32">
        <f t="shared" si="8"/>
        <v>0.5</v>
      </c>
    </row>
    <row r="38" spans="1:31" x14ac:dyDescent="0.3">
      <c r="F38" s="1" t="s">
        <v>64</v>
      </c>
      <c r="G38" s="18">
        <v>8.6999999999999994E-2</v>
      </c>
      <c r="N38" t="s">
        <v>89</v>
      </c>
      <c r="O38" s="6" t="s">
        <v>42</v>
      </c>
      <c r="Q38" s="16"/>
      <c r="R38" s="16"/>
      <c r="S38" s="40">
        <f>20.5*20/37</f>
        <v>11.081081081081081</v>
      </c>
      <c r="T38" s="49">
        <f>22*20/37</f>
        <v>11.891891891891891</v>
      </c>
      <c r="W38" s="16">
        <f>2/2</f>
        <v>1</v>
      </c>
      <c r="X38" s="16">
        <f t="shared" si="4"/>
        <v>2.5</v>
      </c>
      <c r="Y38">
        <f t="shared" si="5"/>
        <v>2.2222222222222223</v>
      </c>
      <c r="Z38" s="16">
        <f t="shared" si="6"/>
        <v>2</v>
      </c>
      <c r="AB38" s="16">
        <f>1/5</f>
        <v>0.2</v>
      </c>
      <c r="AC38">
        <f t="shared" si="7"/>
        <v>0.5</v>
      </c>
      <c r="AD38" s="16">
        <f t="shared" si="3"/>
        <v>0.44444444444444448</v>
      </c>
      <c r="AE38" s="32">
        <f t="shared" si="8"/>
        <v>0.4</v>
      </c>
    </row>
    <row r="39" spans="1:31" x14ac:dyDescent="0.3">
      <c r="F39" s="1" t="s">
        <v>66</v>
      </c>
      <c r="G39" s="18">
        <v>8.5000000000000006E-2</v>
      </c>
      <c r="N39" s="1"/>
      <c r="Q39" s="16"/>
      <c r="R39" s="16"/>
      <c r="S39" s="44">
        <f>15*20/17</f>
        <v>17.647058823529413</v>
      </c>
      <c r="T39" s="46">
        <f>15*20/17</f>
        <v>17.647058823529413</v>
      </c>
      <c r="W39" s="35">
        <f>5/7</f>
        <v>0.7142857142857143</v>
      </c>
      <c r="X39" s="35">
        <f>W39*10</f>
        <v>7.1428571428571432</v>
      </c>
      <c r="Y39" s="26">
        <f>5*10/7</f>
        <v>7.1428571428571432</v>
      </c>
      <c r="Z39" s="35">
        <f>5*10/7</f>
        <v>7.1428571428571432</v>
      </c>
      <c r="AB39" s="35">
        <f>5/7 * 10</f>
        <v>7.1428571428571432</v>
      </c>
      <c r="AC39" s="26">
        <f>5/7 * 10</f>
        <v>7.1428571428571432</v>
      </c>
      <c r="AD39" s="35">
        <f>5/7 * 10</f>
        <v>7.1428571428571432</v>
      </c>
      <c r="AE39" s="33">
        <f>5/7 * 10</f>
        <v>7.1428571428571432</v>
      </c>
    </row>
    <row r="40" spans="1:31" x14ac:dyDescent="0.3">
      <c r="F40" s="1" t="s">
        <v>70</v>
      </c>
      <c r="Q40" s="16"/>
      <c r="R40" s="16"/>
      <c r="S40" s="43">
        <f>42*30/63</f>
        <v>20</v>
      </c>
      <c r="T40" s="48">
        <f>53*30/63</f>
        <v>25.238095238095237</v>
      </c>
      <c r="W40" s="44">
        <f>17/17</f>
        <v>1</v>
      </c>
      <c r="X40" s="40">
        <f>23*20/37</f>
        <v>12.432432432432432</v>
      </c>
      <c r="Y40" s="39">
        <f>23*20/37</f>
        <v>12.432432432432432</v>
      </c>
      <c r="Z40" s="40">
        <f>23*20/37</f>
        <v>12.432432432432432</v>
      </c>
      <c r="AB40" s="40">
        <f>20*20/37</f>
        <v>10.810810810810811</v>
      </c>
      <c r="AC40" s="39">
        <f>20*20/37</f>
        <v>10.810810810810811</v>
      </c>
      <c r="AD40" s="40">
        <f>20*20/37</f>
        <v>10.810810810810811</v>
      </c>
      <c r="AE40" s="49">
        <f>20*20/37</f>
        <v>10.810810810810811</v>
      </c>
    </row>
    <row r="41" spans="1:31" ht="15" thickBot="1" x14ac:dyDescent="0.35">
      <c r="B41" s="8" t="s">
        <v>72</v>
      </c>
      <c r="F41" s="1" t="s">
        <v>65</v>
      </c>
      <c r="G41" s="19">
        <v>0.24</v>
      </c>
      <c r="H41" s="8" t="s">
        <v>92</v>
      </c>
      <c r="P41" s="8" t="s">
        <v>83</v>
      </c>
      <c r="Q41" s="17"/>
      <c r="R41" s="17"/>
      <c r="S41" s="45">
        <f>SUM(S29:S31,S32,S33,S34:S40)</f>
        <v>71.234092285562866</v>
      </c>
      <c r="T41" s="34">
        <f>SUM(T29:T40)</f>
        <v>76.152045953516534</v>
      </c>
      <c r="W41" s="40">
        <f>23/37</f>
        <v>0.6216216216216216</v>
      </c>
      <c r="X41" s="44">
        <f>17*20/17</f>
        <v>20</v>
      </c>
      <c r="Y41" s="59">
        <f>17*20/17</f>
        <v>20</v>
      </c>
      <c r="Z41" s="44">
        <f>17*20/17</f>
        <v>20</v>
      </c>
      <c r="AB41" s="44">
        <f>17*20/17</f>
        <v>20</v>
      </c>
      <c r="AC41" s="59">
        <f>17*20/17</f>
        <v>20</v>
      </c>
      <c r="AD41" s="44">
        <f>17*20/17</f>
        <v>20</v>
      </c>
      <c r="AE41" s="46">
        <f>17*20/17</f>
        <v>20</v>
      </c>
    </row>
    <row r="42" spans="1:31" ht="15" thickBot="1" x14ac:dyDescent="0.35">
      <c r="B42" s="10" t="s">
        <v>73</v>
      </c>
      <c r="H42" s="10" t="s">
        <v>93</v>
      </c>
      <c r="P42" s="10" t="s">
        <v>84</v>
      </c>
      <c r="W42" s="43">
        <f>40/63</f>
        <v>0.63492063492063489</v>
      </c>
      <c r="X42" s="43">
        <f>40*30/63</f>
        <v>19.047619047619047</v>
      </c>
      <c r="Y42" s="60">
        <f>40*30/63</f>
        <v>19.047619047619047</v>
      </c>
      <c r="Z42" s="43">
        <f>40*30/63</f>
        <v>19.047619047619047</v>
      </c>
      <c r="AB42" s="43">
        <f>44*30/63</f>
        <v>20.952380952380953</v>
      </c>
      <c r="AC42" s="60">
        <f>44*30/63</f>
        <v>20.952380952380953</v>
      </c>
      <c r="AD42" s="43">
        <f>44*30/63</f>
        <v>20.952380952380953</v>
      </c>
      <c r="AE42" s="48">
        <f>44*30/63</f>
        <v>20.952380952380953</v>
      </c>
    </row>
    <row r="43" spans="1:31" ht="15" thickBot="1" x14ac:dyDescent="0.35">
      <c r="B43" s="27" t="str">
        <f>"Total = "&amp;SUM(B29:B30,B34:B36)&amp;"%"</f>
        <v>Total = 59.1%</v>
      </c>
      <c r="N43" s="36" t="s">
        <v>51</v>
      </c>
      <c r="O43" s="37" t="s">
        <v>106</v>
      </c>
      <c r="P43" s="27" t="str">
        <f>"Total = "&amp;SUM(R29:R40)&amp;"%"</f>
        <v>Total = 0%</v>
      </c>
      <c r="W43" s="57"/>
      <c r="X43" s="54">
        <f>SUM(X29,X31,X33:X42)</f>
        <v>76.164575289575282</v>
      </c>
      <c r="Y43" s="58">
        <f>SUM(Y29,Y32,Y31,Y33:Y38,X39:X42)</f>
        <v>74.771056771056763</v>
      </c>
      <c r="Z43" s="54">
        <f>SUM(Z29:Z42)</f>
        <v>73.156241956241956</v>
      </c>
      <c r="AB43" s="57"/>
      <c r="AC43" s="58">
        <f>SUM(AC29:AC36,AB39:AB42)</f>
        <v>75.156048906048909</v>
      </c>
      <c r="AD43" s="54">
        <f>SUM(AD29:AD37,AB39:AB42)</f>
        <v>73.906048906048909</v>
      </c>
      <c r="AE43" s="55">
        <f>SUM(AE29:AE38,AB39:AB42)</f>
        <v>72.8060489060489</v>
      </c>
    </row>
    <row r="44" spans="1:31" x14ac:dyDescent="0.3">
      <c r="N44" s="38" t="s">
        <v>49</v>
      </c>
      <c r="O44" s="39" t="s">
        <v>105</v>
      </c>
    </row>
    <row r="45" spans="1:31" ht="15" thickBot="1" x14ac:dyDescent="0.35">
      <c r="N45" s="41" t="s">
        <v>50</v>
      </c>
      <c r="O45" s="42" t="s">
        <v>111</v>
      </c>
    </row>
    <row r="46" spans="1:31" ht="15" thickBot="1" x14ac:dyDescent="0.35">
      <c r="W46" s="15" t="s">
        <v>94</v>
      </c>
      <c r="X46" s="56" t="s">
        <v>114</v>
      </c>
      <c r="Y46" s="15" t="s">
        <v>112</v>
      </c>
      <c r="Z46" s="47" t="s">
        <v>113</v>
      </c>
      <c r="AB46" s="15" t="s">
        <v>115</v>
      </c>
      <c r="AC46" s="56" t="s">
        <v>109</v>
      </c>
      <c r="AD46" s="15" t="s">
        <v>112</v>
      </c>
      <c r="AE46" s="47" t="s">
        <v>113</v>
      </c>
    </row>
    <row r="47" spans="1:31" x14ac:dyDescent="0.3">
      <c r="W47" s="16">
        <f t="shared" ref="W47:W54" si="9">T29/2.5</f>
        <v>0.75</v>
      </c>
      <c r="X47">
        <f>W47*2.5</f>
        <v>1.875</v>
      </c>
      <c r="Y47" s="16">
        <f>W47*(20/9)</f>
        <v>1.6666666666666667</v>
      </c>
      <c r="Z47" s="32">
        <f>W47*2</f>
        <v>1.5</v>
      </c>
      <c r="AB47" s="16">
        <f>1/4</f>
        <v>0.25</v>
      </c>
      <c r="AC47">
        <f>AB47*2.5</f>
        <v>0.625</v>
      </c>
      <c r="AD47" s="16">
        <f>AB47*(20/9)</f>
        <v>0.55555555555555558</v>
      </c>
      <c r="AE47" s="32">
        <f>AB47*2</f>
        <v>0.5</v>
      </c>
    </row>
    <row r="48" spans="1:31" x14ac:dyDescent="0.3">
      <c r="W48" s="16">
        <f t="shared" si="9"/>
        <v>0.5</v>
      </c>
      <c r="X48">
        <f t="shared" ref="X48:X56" si="10">W48*2.5</f>
        <v>1.25</v>
      </c>
      <c r="Y48" s="16">
        <f t="shared" ref="Y48:Y56" si="11">W48*(20/9)</f>
        <v>1.1111111111111112</v>
      </c>
      <c r="Z48" s="32">
        <f t="shared" ref="Z48:Z56" si="12">W48*2</f>
        <v>1</v>
      </c>
      <c r="AB48" s="16">
        <f>1/2</f>
        <v>0.5</v>
      </c>
      <c r="AC48">
        <f t="shared" ref="AC48:AC56" si="13">AB48*2.5</f>
        <v>1.25</v>
      </c>
      <c r="AD48" s="16">
        <f t="shared" ref="AD48:AD56" si="14">AB48*(20/9)</f>
        <v>1.1111111111111112</v>
      </c>
      <c r="AE48" s="32">
        <f t="shared" ref="AE48:AE56" si="15">AB48*2</f>
        <v>1</v>
      </c>
    </row>
    <row r="49" spans="8:31" x14ac:dyDescent="0.3">
      <c r="W49" s="16">
        <f t="shared" si="9"/>
        <v>1</v>
      </c>
      <c r="X49">
        <f t="shared" si="10"/>
        <v>2.5</v>
      </c>
      <c r="Y49" s="16">
        <f t="shared" si="11"/>
        <v>2.2222222222222223</v>
      </c>
      <c r="Z49" s="32">
        <f t="shared" si="12"/>
        <v>2</v>
      </c>
      <c r="AB49" s="16">
        <f>2/4</f>
        <v>0.5</v>
      </c>
      <c r="AC49">
        <f t="shared" si="13"/>
        <v>1.25</v>
      </c>
      <c r="AD49" s="16">
        <f t="shared" si="14"/>
        <v>1.1111111111111112</v>
      </c>
      <c r="AE49" s="32">
        <f t="shared" si="15"/>
        <v>1</v>
      </c>
    </row>
    <row r="50" spans="8:31" x14ac:dyDescent="0.3">
      <c r="W50" s="16">
        <f t="shared" si="9"/>
        <v>0.5</v>
      </c>
      <c r="X50">
        <f t="shared" si="10"/>
        <v>1.25</v>
      </c>
      <c r="Y50" s="16">
        <f t="shared" si="11"/>
        <v>1.1111111111111112</v>
      </c>
      <c r="Z50" s="32">
        <f t="shared" si="12"/>
        <v>1</v>
      </c>
      <c r="AB50" s="16">
        <f>0/4</f>
        <v>0</v>
      </c>
      <c r="AC50">
        <f t="shared" si="13"/>
        <v>0</v>
      </c>
      <c r="AD50" s="16">
        <f t="shared" si="14"/>
        <v>0</v>
      </c>
      <c r="AE50" s="32">
        <f t="shared" si="15"/>
        <v>0</v>
      </c>
    </row>
    <row r="51" spans="8:31" x14ac:dyDescent="0.3">
      <c r="W51" s="16">
        <f t="shared" si="9"/>
        <v>0.8</v>
      </c>
      <c r="X51">
        <f t="shared" si="10"/>
        <v>2</v>
      </c>
      <c r="Y51" s="16">
        <f t="shared" si="11"/>
        <v>1.7777777777777779</v>
      </c>
      <c r="Z51" s="32">
        <f t="shared" si="12"/>
        <v>1.6</v>
      </c>
      <c r="AB51" s="16">
        <f>2/6</f>
        <v>0.33333333333333331</v>
      </c>
      <c r="AC51">
        <f t="shared" si="13"/>
        <v>0.83333333333333326</v>
      </c>
      <c r="AD51" s="16">
        <f t="shared" si="14"/>
        <v>0.7407407407407407</v>
      </c>
      <c r="AE51" s="32">
        <f t="shared" si="15"/>
        <v>0.66666666666666663</v>
      </c>
    </row>
    <row r="52" spans="8:31" x14ac:dyDescent="0.3">
      <c r="W52" s="16">
        <f t="shared" si="9"/>
        <v>1</v>
      </c>
      <c r="X52">
        <f t="shared" si="10"/>
        <v>2.5</v>
      </c>
      <c r="Y52" s="16">
        <f t="shared" si="11"/>
        <v>2.2222222222222223</v>
      </c>
      <c r="Z52" s="32">
        <f t="shared" si="12"/>
        <v>2</v>
      </c>
      <c r="AB52" s="16">
        <f>3/5</f>
        <v>0.6</v>
      </c>
      <c r="AC52">
        <f t="shared" si="13"/>
        <v>1.5</v>
      </c>
      <c r="AD52" s="16">
        <f t="shared" si="14"/>
        <v>1.3333333333333333</v>
      </c>
      <c r="AE52" s="32">
        <f t="shared" si="15"/>
        <v>1.2</v>
      </c>
    </row>
    <row r="53" spans="8:31" x14ac:dyDescent="0.3">
      <c r="W53" s="16">
        <f t="shared" si="9"/>
        <v>1</v>
      </c>
      <c r="X53">
        <f t="shared" si="10"/>
        <v>2.5</v>
      </c>
      <c r="Y53" s="16">
        <f t="shared" si="11"/>
        <v>2.2222222222222223</v>
      </c>
      <c r="Z53" s="32">
        <f t="shared" si="12"/>
        <v>2</v>
      </c>
      <c r="AB53" s="16">
        <f>2/3</f>
        <v>0.66666666666666663</v>
      </c>
      <c r="AC53">
        <f t="shared" si="13"/>
        <v>1.6666666666666665</v>
      </c>
      <c r="AD53" s="16">
        <f t="shared" si="14"/>
        <v>1.4814814814814814</v>
      </c>
      <c r="AE53" s="32">
        <f t="shared" si="15"/>
        <v>1.3333333333333333</v>
      </c>
    </row>
    <row r="54" spans="8:31" x14ac:dyDescent="0.3">
      <c r="W54" s="16">
        <f t="shared" si="9"/>
        <v>1</v>
      </c>
      <c r="X54">
        <f t="shared" si="10"/>
        <v>2.5</v>
      </c>
      <c r="Y54" s="16">
        <f t="shared" si="11"/>
        <v>2.2222222222222223</v>
      </c>
      <c r="Z54" s="32">
        <f t="shared" si="12"/>
        <v>2</v>
      </c>
      <c r="AB54" s="16">
        <f>1/4</f>
        <v>0.25</v>
      </c>
      <c r="AC54">
        <f t="shared" si="13"/>
        <v>0.625</v>
      </c>
      <c r="AD54" s="16">
        <f t="shared" si="14"/>
        <v>0.55555555555555558</v>
      </c>
      <c r="AE54" s="32">
        <f t="shared" si="15"/>
        <v>0.5</v>
      </c>
    </row>
    <row r="55" spans="8:31" x14ac:dyDescent="0.3">
      <c r="M55">
        <v>1500</v>
      </c>
      <c r="W55" s="16">
        <f>1/4</f>
        <v>0.25</v>
      </c>
      <c r="X55">
        <f t="shared" si="10"/>
        <v>0.625</v>
      </c>
      <c r="Y55" s="16">
        <f t="shared" si="11"/>
        <v>0.55555555555555558</v>
      </c>
      <c r="Z55" s="32">
        <f t="shared" si="12"/>
        <v>0.5</v>
      </c>
      <c r="AB55" s="16">
        <f>3/3</f>
        <v>1</v>
      </c>
      <c r="AC55">
        <f t="shared" si="13"/>
        <v>2.5</v>
      </c>
      <c r="AD55" s="16">
        <f t="shared" si="14"/>
        <v>2.2222222222222223</v>
      </c>
      <c r="AE55" s="32">
        <f t="shared" si="15"/>
        <v>2</v>
      </c>
    </row>
    <row r="56" spans="8:31" x14ac:dyDescent="0.3">
      <c r="M56">
        <v>129</v>
      </c>
      <c r="W56" s="16">
        <v>0</v>
      </c>
      <c r="X56">
        <f t="shared" si="10"/>
        <v>0</v>
      </c>
      <c r="Y56" s="16">
        <f t="shared" si="11"/>
        <v>0</v>
      </c>
      <c r="Z56" s="32">
        <f t="shared" si="12"/>
        <v>0</v>
      </c>
      <c r="AB56" s="16">
        <f>2/2</f>
        <v>1</v>
      </c>
      <c r="AC56">
        <f t="shared" si="13"/>
        <v>2.5</v>
      </c>
      <c r="AD56" s="16">
        <f t="shared" si="14"/>
        <v>2.2222222222222223</v>
      </c>
      <c r="AE56" s="32">
        <f t="shared" si="15"/>
        <v>2</v>
      </c>
    </row>
    <row r="57" spans="8:31" x14ac:dyDescent="0.3">
      <c r="M57" s="27">
        <f>SUM(M55:M56)</f>
        <v>1629</v>
      </c>
      <c r="W57" s="35">
        <f>4*10/7</f>
        <v>5.7142857142857144</v>
      </c>
      <c r="X57" s="26">
        <f>4*10/7</f>
        <v>5.7142857142857144</v>
      </c>
      <c r="Y57" s="35">
        <f>4*10/7</f>
        <v>5.7142857142857144</v>
      </c>
      <c r="Z57" s="33">
        <f>4*10/7</f>
        <v>5.7142857142857144</v>
      </c>
      <c r="AB57" s="16">
        <f>4/7</f>
        <v>0.5714285714285714</v>
      </c>
      <c r="AD57" s="35">
        <f>AB57*10</f>
        <v>5.7142857142857135</v>
      </c>
      <c r="AE57" s="32"/>
    </row>
    <row r="58" spans="8:31" x14ac:dyDescent="0.3">
      <c r="H58" s="30"/>
      <c r="I58" s="30"/>
      <c r="J58" s="30"/>
      <c r="W58" s="40">
        <f>22*20/37</f>
        <v>11.891891891891891</v>
      </c>
      <c r="X58" s="39">
        <f>22*20/37</f>
        <v>11.891891891891891</v>
      </c>
      <c r="Y58" s="40">
        <f>22*20/37</f>
        <v>11.891891891891891</v>
      </c>
      <c r="Z58" s="49">
        <f>22*20/37</f>
        <v>11.891891891891891</v>
      </c>
      <c r="AB58" s="16">
        <f>24/37</f>
        <v>0.64864864864864868</v>
      </c>
      <c r="AD58" s="40">
        <f>AB58*20</f>
        <v>12.972972972972974</v>
      </c>
      <c r="AE58" s="32"/>
    </row>
    <row r="59" spans="8:31" x14ac:dyDescent="0.3">
      <c r="W59" s="44">
        <f>15*20/17</f>
        <v>17.647058823529413</v>
      </c>
      <c r="X59" s="59">
        <f>15*20/17</f>
        <v>17.647058823529413</v>
      </c>
      <c r="Y59" s="44">
        <f>15*20/17</f>
        <v>17.647058823529413</v>
      </c>
      <c r="Z59" s="46">
        <f>15*20/17</f>
        <v>17.647058823529413</v>
      </c>
      <c r="AB59" s="16">
        <f>16/17</f>
        <v>0.94117647058823528</v>
      </c>
      <c r="AD59" s="44">
        <f>AB59*20</f>
        <v>18.823529411764707</v>
      </c>
      <c r="AE59" s="32"/>
    </row>
    <row r="60" spans="8:31" ht="15" thickBot="1" x14ac:dyDescent="0.35">
      <c r="W60" s="43">
        <f>53*30/63</f>
        <v>25.238095238095237</v>
      </c>
      <c r="X60" s="60">
        <f>53*30/63</f>
        <v>25.238095238095237</v>
      </c>
      <c r="Y60" s="43">
        <f>53*30/63</f>
        <v>25.238095238095237</v>
      </c>
      <c r="Z60" s="48">
        <f>53*30/63</f>
        <v>25.238095238095237</v>
      </c>
      <c r="AB60" s="16">
        <f>34/63</f>
        <v>0.53968253968253965</v>
      </c>
      <c r="AD60" s="43">
        <f>AB60*30</f>
        <v>16.19047619047619</v>
      </c>
      <c r="AE60" s="32"/>
    </row>
    <row r="61" spans="8:31" ht="15" thickBot="1" x14ac:dyDescent="0.35">
      <c r="I61" s="27"/>
      <c r="W61" s="57"/>
      <c r="X61" s="58">
        <f>SUM(X47:X54,X57:X60)</f>
        <v>76.866331667802257</v>
      </c>
      <c r="Y61" s="54">
        <f>SUM(Y47:Y55,Y57:Y60)</f>
        <v>75.602442778913357</v>
      </c>
      <c r="Z61" s="55">
        <f>SUM(Z47:Z60)</f>
        <v>74.091331667802251</v>
      </c>
      <c r="AB61" s="57"/>
      <c r="AC61" s="58">
        <f>SUM(AC48:AC49,AC51:AC56,AD57:AD60)</f>
        <v>65.826264289499591</v>
      </c>
      <c r="AD61" s="54">
        <f>SUM(AD47:AD49,AD51:AD60)</f>
        <v>65.034597622832919</v>
      </c>
      <c r="AE61" s="55">
        <f>SUM(AE47:AE56,AD57:AD60)</f>
        <v>63.901264289499579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Ronit</dc:creator>
  <cp:lastModifiedBy>Ronit Kumar</cp:lastModifiedBy>
  <dcterms:created xsi:type="dcterms:W3CDTF">2015-06-05T18:17:20Z</dcterms:created>
  <dcterms:modified xsi:type="dcterms:W3CDTF">2026-01-12T08:48:44Z</dcterms:modified>
</cp:coreProperties>
</file>