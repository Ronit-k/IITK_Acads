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FF3B2F5D-648C-44CE-A2F4-62B084CEC7E3}" xr6:coauthVersionLast="47" xr6:coauthVersionMax="47" xr10:uidLastSave="{00000000-0000-0000-0000-000000000000}"/>
  <bookViews>
    <workbookView xWindow="-108" yWindow="-108" windowWidth="23256" windowHeight="13176" xr2:uid="{9F13E214-9AA1-4629-B2DC-589600A2D2DA}"/>
  </bookViews>
  <sheets>
    <sheet name="EC_lab_marks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L183" i="1"/>
  <c r="M183" i="1" s="1"/>
  <c r="L156" i="1"/>
  <c r="L119" i="1"/>
  <c r="L167" i="1"/>
  <c r="L144" i="1"/>
  <c r="L28" i="1"/>
  <c r="L194" i="1"/>
  <c r="L190" i="1"/>
  <c r="L141" i="1"/>
  <c r="L35" i="1"/>
  <c r="L14" i="1"/>
  <c r="L57" i="1"/>
  <c r="L100" i="1"/>
  <c r="L21" i="1"/>
  <c r="L12" i="1"/>
  <c r="L181" i="1"/>
  <c r="L84" i="1"/>
  <c r="L34" i="1"/>
  <c r="L29" i="1"/>
  <c r="L22" i="1"/>
  <c r="L8" i="1"/>
  <c r="L186" i="1"/>
  <c r="L20" i="1"/>
  <c r="L197" i="1"/>
  <c r="L140" i="1"/>
  <c r="K161" i="1"/>
  <c r="L161" i="1" s="1"/>
  <c r="M161" i="1" s="1"/>
  <c r="K185" i="1"/>
  <c r="L185" i="1" s="1"/>
  <c r="M185" i="1" s="1"/>
  <c r="K203" i="1"/>
  <c r="L203" i="1" s="1"/>
  <c r="M203" i="1" s="1"/>
  <c r="K188" i="1"/>
  <c r="K201" i="1"/>
  <c r="K150" i="1"/>
  <c r="K198" i="1"/>
  <c r="K183" i="1"/>
  <c r="K189" i="1"/>
  <c r="K206" i="1"/>
  <c r="K180" i="1"/>
  <c r="K196" i="1"/>
  <c r="K111" i="1"/>
  <c r="K30" i="1"/>
  <c r="K103" i="1"/>
  <c r="K182" i="1"/>
  <c r="K114" i="1"/>
  <c r="K145" i="1"/>
  <c r="K98" i="1"/>
  <c r="K79" i="1"/>
  <c r="K156" i="1"/>
  <c r="K129" i="1"/>
  <c r="K59" i="1"/>
  <c r="K113" i="1"/>
  <c r="K88" i="1"/>
  <c r="K125" i="1"/>
  <c r="K94" i="1"/>
  <c r="K47" i="1"/>
  <c r="K199" i="1"/>
  <c r="K45" i="1"/>
  <c r="L45" i="1" s="1"/>
  <c r="K205" i="1"/>
  <c r="K117" i="1"/>
  <c r="K24" i="1"/>
  <c r="K13" i="1"/>
  <c r="L13" i="1" s="1"/>
  <c r="K177" i="1"/>
  <c r="K195" i="1"/>
  <c r="K163" i="1"/>
  <c r="K166" i="1"/>
  <c r="K92" i="1"/>
  <c r="K38" i="1"/>
  <c r="K70" i="1"/>
  <c r="L70" i="1" s="1"/>
  <c r="K18" i="1"/>
  <c r="L18" i="1" s="1"/>
  <c r="K124" i="1"/>
  <c r="L124" i="1" s="1"/>
  <c r="K172" i="1"/>
  <c r="K119" i="1"/>
  <c r="K167" i="1"/>
  <c r="K144" i="1"/>
  <c r="K50" i="1"/>
  <c r="L50" i="1" s="1"/>
  <c r="K165" i="1"/>
  <c r="K99" i="1"/>
  <c r="K110" i="1"/>
  <c r="K96" i="1"/>
  <c r="K7" i="1"/>
  <c r="L7" i="1" s="1"/>
  <c r="K137" i="1"/>
  <c r="K142" i="1"/>
  <c r="K28" i="1"/>
  <c r="K194" i="1"/>
  <c r="K51" i="1"/>
  <c r="K184" i="1"/>
  <c r="K62" i="1"/>
  <c r="K139" i="1"/>
  <c r="K135" i="1"/>
  <c r="L135" i="1" s="1"/>
  <c r="K36" i="1"/>
  <c r="L36" i="1" s="1"/>
  <c r="K168" i="1"/>
  <c r="K190" i="1"/>
  <c r="K141" i="1"/>
  <c r="K35" i="1"/>
  <c r="K120" i="1"/>
  <c r="K151" i="1"/>
  <c r="K112" i="1"/>
  <c r="K107" i="1"/>
  <c r="K152" i="1"/>
  <c r="K204" i="1"/>
  <c r="K148" i="1"/>
  <c r="K126" i="1"/>
  <c r="K61" i="1"/>
  <c r="K134" i="1"/>
  <c r="K14" i="1"/>
  <c r="K10" i="1"/>
  <c r="K95" i="1"/>
  <c r="K153" i="1"/>
  <c r="L153" i="1" s="1"/>
  <c r="K93" i="1"/>
  <c r="L93" i="1" s="1"/>
  <c r="K169" i="1"/>
  <c r="L169" i="1" s="1"/>
  <c r="K76" i="1"/>
  <c r="K81" i="1"/>
  <c r="K136" i="1"/>
  <c r="K102" i="1"/>
  <c r="K143" i="1"/>
  <c r="K109" i="1"/>
  <c r="K175" i="1"/>
  <c r="K118" i="1"/>
  <c r="K48" i="1"/>
  <c r="L48" i="1" s="1"/>
  <c r="K147" i="1"/>
  <c r="L147" i="1" s="1"/>
  <c r="K191" i="1"/>
  <c r="L191" i="1" s="1"/>
  <c r="K53" i="1"/>
  <c r="K31" i="1"/>
  <c r="K78" i="1"/>
  <c r="K105" i="1"/>
  <c r="K90" i="1"/>
  <c r="K23" i="1"/>
  <c r="K159" i="1"/>
  <c r="K149" i="1"/>
  <c r="K55" i="1"/>
  <c r="K16" i="1"/>
  <c r="K57" i="1"/>
  <c r="K123" i="1"/>
  <c r="K115" i="1"/>
  <c r="K6" i="1"/>
  <c r="K74" i="1"/>
  <c r="K3" i="1"/>
  <c r="K100" i="1"/>
  <c r="K21" i="1"/>
  <c r="K158" i="1"/>
  <c r="K69" i="1"/>
  <c r="L69" i="1" s="1"/>
  <c r="K132" i="1"/>
  <c r="K133" i="1"/>
  <c r="L133" i="1" s="1"/>
  <c r="K208" i="1"/>
  <c r="K12" i="1"/>
  <c r="K181" i="1"/>
  <c r="K164" i="1"/>
  <c r="K82" i="1"/>
  <c r="K122" i="1"/>
  <c r="L122" i="1" s="1"/>
  <c r="K176" i="1"/>
  <c r="L176" i="1" s="1"/>
  <c r="K15" i="1"/>
  <c r="L15" i="1" s="1"/>
  <c r="K84" i="1"/>
  <c r="K85" i="1"/>
  <c r="L85" i="1" s="1"/>
  <c r="K32" i="1"/>
  <c r="K101" i="1"/>
  <c r="L101" i="1" s="1"/>
  <c r="K173" i="1"/>
  <c r="K207" i="1"/>
  <c r="K187" i="1"/>
  <c r="K72" i="1"/>
  <c r="K157" i="1"/>
  <c r="K27" i="1"/>
  <c r="K160" i="1"/>
  <c r="L160" i="1" s="1"/>
  <c r="K73" i="1"/>
  <c r="K91" i="1"/>
  <c r="K193" i="1"/>
  <c r="K83" i="1"/>
  <c r="K58" i="1"/>
  <c r="K128" i="1"/>
  <c r="L128" i="1" s="1"/>
  <c r="K52" i="1"/>
  <c r="L52" i="1" s="1"/>
  <c r="K146" i="1"/>
  <c r="L146" i="1" s="1"/>
  <c r="K80" i="1"/>
  <c r="K33" i="1"/>
  <c r="L33" i="1" s="1"/>
  <c r="K44" i="1"/>
  <c r="K22" i="1"/>
  <c r="K104" i="1"/>
  <c r="K127" i="1"/>
  <c r="K174" i="1"/>
  <c r="K19" i="1"/>
  <c r="L19" i="1" s="1"/>
  <c r="K200" i="1"/>
  <c r="K116" i="1"/>
  <c r="L116" i="1" s="1"/>
  <c r="K108" i="1"/>
  <c r="L108" i="1" s="1"/>
  <c r="K170" i="1"/>
  <c r="K131" i="1"/>
  <c r="K77" i="1"/>
  <c r="K89" i="1"/>
  <c r="K130" i="1"/>
  <c r="K60" i="1"/>
  <c r="K56" i="1"/>
  <c r="L56" i="1" s="1"/>
  <c r="K9" i="1"/>
  <c r="L9" i="1" s="1"/>
  <c r="K186" i="1"/>
  <c r="K20" i="1"/>
  <c r="K197" i="1"/>
  <c r="K140" i="1"/>
  <c r="K87" i="1"/>
  <c r="L87" i="1" s="1"/>
  <c r="K39" i="1"/>
  <c r="K154" i="1"/>
  <c r="K162" i="1"/>
  <c r="L162" i="1" s="1"/>
  <c r="K179" i="1"/>
  <c r="K155" i="1"/>
  <c r="K71" i="1"/>
  <c r="K75" i="1"/>
  <c r="K67" i="1"/>
  <c r="K64" i="1"/>
  <c r="K37" i="1"/>
  <c r="L37" i="1" s="1"/>
  <c r="K138" i="1"/>
  <c r="K178" i="1"/>
  <c r="K86" i="1"/>
  <c r="K106" i="1"/>
  <c r="L106" i="1" s="1"/>
  <c r="K25" i="1"/>
  <c r="L25" i="1" s="1"/>
  <c r="K49" i="1"/>
  <c r="L49" i="1" s="1"/>
  <c r="K192" i="1"/>
  <c r="L192" i="1" s="1"/>
  <c r="K202" i="1"/>
  <c r="I203" i="1"/>
  <c r="I188" i="1"/>
  <c r="I201" i="1"/>
  <c r="L201" i="1" s="1"/>
  <c r="M201" i="1" s="1"/>
  <c r="I150" i="1"/>
  <c r="L150" i="1" s="1"/>
  <c r="I198" i="1"/>
  <c r="L198" i="1" s="1"/>
  <c r="M198" i="1" s="1"/>
  <c r="I189" i="1"/>
  <c r="L189" i="1" s="1"/>
  <c r="M189" i="1" s="1"/>
  <c r="I206" i="1"/>
  <c r="L206" i="1" s="1"/>
  <c r="I171" i="1"/>
  <c r="L171" i="1" s="1"/>
  <c r="M171" i="1" s="1"/>
  <c r="I180" i="1"/>
  <c r="L180" i="1" s="1"/>
  <c r="I196" i="1"/>
  <c r="L196" i="1" s="1"/>
  <c r="I46" i="1"/>
  <c r="L46" i="1" s="1"/>
  <c r="I111" i="1"/>
  <c r="I30" i="1"/>
  <c r="I103" i="1"/>
  <c r="I182" i="1"/>
  <c r="L182" i="1" s="1"/>
  <c r="I114" i="1"/>
  <c r="L114" i="1" s="1"/>
  <c r="I145" i="1"/>
  <c r="L145" i="1" s="1"/>
  <c r="I98" i="1"/>
  <c r="L98" i="1" s="1"/>
  <c r="I79" i="1"/>
  <c r="I156" i="1"/>
  <c r="I129" i="1"/>
  <c r="L129" i="1" s="1"/>
  <c r="I59" i="1"/>
  <c r="L59" i="1" s="1"/>
  <c r="I113" i="1"/>
  <c r="L113" i="1" s="1"/>
  <c r="I88" i="1"/>
  <c r="L88" i="1" s="1"/>
  <c r="I125" i="1"/>
  <c r="L125" i="1" s="1"/>
  <c r="I41" i="1"/>
  <c r="L41" i="1" s="1"/>
  <c r="I94" i="1"/>
  <c r="L94" i="1" s="1"/>
  <c r="I47" i="1"/>
  <c r="L47" i="1" s="1"/>
  <c r="I4" i="1"/>
  <c r="L4" i="1" s="1"/>
  <c r="I199" i="1"/>
  <c r="L199" i="1" s="1"/>
  <c r="I205" i="1"/>
  <c r="I117" i="1"/>
  <c r="I24" i="1"/>
  <c r="I177" i="1"/>
  <c r="I195" i="1"/>
  <c r="L195" i="1" s="1"/>
  <c r="I163" i="1"/>
  <c r="L163" i="1" s="1"/>
  <c r="I166" i="1"/>
  <c r="L166" i="1" s="1"/>
  <c r="I92" i="1"/>
  <c r="L92" i="1" s="1"/>
  <c r="I38" i="1"/>
  <c r="I70" i="1"/>
  <c r="I18" i="1"/>
  <c r="I124" i="1"/>
  <c r="I172" i="1"/>
  <c r="I119" i="1"/>
  <c r="I167" i="1"/>
  <c r="I144" i="1"/>
  <c r="I165" i="1"/>
  <c r="L165" i="1" s="1"/>
  <c r="I99" i="1"/>
  <c r="L99" i="1" s="1"/>
  <c r="I110" i="1"/>
  <c r="L110" i="1" s="1"/>
  <c r="I96" i="1"/>
  <c r="L96" i="1" s="1"/>
  <c r="I137" i="1"/>
  <c r="I142" i="1"/>
  <c r="I28" i="1"/>
  <c r="I194" i="1"/>
  <c r="I51" i="1"/>
  <c r="L51" i="1" s="1"/>
  <c r="I184" i="1"/>
  <c r="L184" i="1" s="1"/>
  <c r="I62" i="1"/>
  <c r="L62" i="1" s="1"/>
  <c r="I139" i="1"/>
  <c r="L139" i="1" s="1"/>
  <c r="I135" i="1"/>
  <c r="I168" i="1"/>
  <c r="I190" i="1"/>
  <c r="I141" i="1"/>
  <c r="I35" i="1"/>
  <c r="I17" i="1"/>
  <c r="L17" i="1" s="1"/>
  <c r="I120" i="1"/>
  <c r="L120" i="1" s="1"/>
  <c r="I151" i="1"/>
  <c r="L151" i="1" s="1"/>
  <c r="I112" i="1"/>
  <c r="L112" i="1" s="1"/>
  <c r="I40" i="1"/>
  <c r="L40" i="1" s="1"/>
  <c r="I107" i="1"/>
  <c r="L107" i="1" s="1"/>
  <c r="I54" i="1"/>
  <c r="L54" i="1" s="1"/>
  <c r="I42" i="1"/>
  <c r="L42" i="1" s="1"/>
  <c r="I152" i="1"/>
  <c r="I204" i="1"/>
  <c r="I148" i="1"/>
  <c r="I126" i="1"/>
  <c r="I61" i="1"/>
  <c r="L61" i="1" s="1"/>
  <c r="I134" i="1"/>
  <c r="L134" i="1" s="1"/>
  <c r="I10" i="1"/>
  <c r="L10" i="1" s="1"/>
  <c r="I95" i="1"/>
  <c r="I153" i="1"/>
  <c r="I93" i="1"/>
  <c r="I169" i="1"/>
  <c r="I76" i="1"/>
  <c r="L76" i="1" s="1"/>
  <c r="I81" i="1"/>
  <c r="L81" i="1" s="1"/>
  <c r="I136" i="1"/>
  <c r="L136" i="1" s="1"/>
  <c r="I102" i="1"/>
  <c r="L102" i="1" s="1"/>
  <c r="I143" i="1"/>
  <c r="L143" i="1" s="1"/>
  <c r="I109" i="1"/>
  <c r="L109" i="1" s="1"/>
  <c r="I175" i="1"/>
  <c r="L175" i="1" s="1"/>
  <c r="I118" i="1"/>
  <c r="L118" i="1" s="1"/>
  <c r="I48" i="1"/>
  <c r="I147" i="1"/>
  <c r="I191" i="1"/>
  <c r="I66" i="1"/>
  <c r="L66" i="1" s="1"/>
  <c r="I53" i="1"/>
  <c r="I31" i="1"/>
  <c r="L31" i="1" s="1"/>
  <c r="I78" i="1"/>
  <c r="L78" i="1" s="1"/>
  <c r="I26" i="1"/>
  <c r="L26" i="1" s="1"/>
  <c r="I105" i="1"/>
  <c r="L105" i="1" s="1"/>
  <c r="I90" i="1"/>
  <c r="I23" i="1"/>
  <c r="I159" i="1"/>
  <c r="I149" i="1"/>
  <c r="L149" i="1" s="1"/>
  <c r="I55" i="1"/>
  <c r="I16" i="1"/>
  <c r="L16" i="1" s="1"/>
  <c r="I123" i="1"/>
  <c r="L123" i="1" s="1"/>
  <c r="I115" i="1"/>
  <c r="L115" i="1" s="1"/>
  <c r="I6" i="1"/>
  <c r="L6" i="1" s="1"/>
  <c r="I74" i="1"/>
  <c r="L74" i="1" s="1"/>
  <c r="I3" i="1"/>
  <c r="L3" i="1" s="1"/>
  <c r="I100" i="1"/>
  <c r="I158" i="1"/>
  <c r="L158" i="1" s="1"/>
  <c r="I69" i="1"/>
  <c r="I132" i="1"/>
  <c r="L132" i="1" s="1"/>
  <c r="I208" i="1"/>
  <c r="L208" i="1" s="1"/>
  <c r="I181" i="1"/>
  <c r="I164" i="1"/>
  <c r="L164" i="1" s="1"/>
  <c r="I82" i="1"/>
  <c r="L82" i="1" s="1"/>
  <c r="I68" i="1"/>
  <c r="L68" i="1" s="1"/>
  <c r="I122" i="1"/>
  <c r="I176" i="1"/>
  <c r="I84" i="1"/>
  <c r="I97" i="1"/>
  <c r="L97" i="1" s="1"/>
  <c r="I32" i="1"/>
  <c r="L32" i="1" s="1"/>
  <c r="I173" i="1"/>
  <c r="L173" i="1" s="1"/>
  <c r="I207" i="1"/>
  <c r="L207" i="1" s="1"/>
  <c r="I187" i="1"/>
  <c r="L187" i="1" s="1"/>
  <c r="I72" i="1"/>
  <c r="L72" i="1" s="1"/>
  <c r="I157" i="1"/>
  <c r="L157" i="1" s="1"/>
  <c r="I27" i="1"/>
  <c r="L27" i="1" s="1"/>
  <c r="I160" i="1"/>
  <c r="I34" i="1"/>
  <c r="I29" i="1"/>
  <c r="I73" i="1"/>
  <c r="L73" i="1" s="1"/>
  <c r="I91" i="1"/>
  <c r="L91" i="1" s="1"/>
  <c r="I193" i="1"/>
  <c r="L193" i="1" s="1"/>
  <c r="I5" i="1"/>
  <c r="L5" i="1" s="1"/>
  <c r="I63" i="1"/>
  <c r="L63" i="1" s="1"/>
  <c r="I83" i="1"/>
  <c r="L83" i="1" s="1"/>
  <c r="I58" i="1"/>
  <c r="I128" i="1"/>
  <c r="I52" i="1"/>
  <c r="I146" i="1"/>
  <c r="I80" i="1"/>
  <c r="L80" i="1" s="1"/>
  <c r="I44" i="1"/>
  <c r="L44" i="1" s="1"/>
  <c r="I104" i="1"/>
  <c r="L104" i="1" s="1"/>
  <c r="I127" i="1"/>
  <c r="L127" i="1" s="1"/>
  <c r="I65" i="1"/>
  <c r="L65" i="1" s="1"/>
  <c r="I174" i="1"/>
  <c r="L174" i="1" s="1"/>
  <c r="I200" i="1"/>
  <c r="L200" i="1" s="1"/>
  <c r="I116" i="1"/>
  <c r="I108" i="1"/>
  <c r="I170" i="1"/>
  <c r="I131" i="1"/>
  <c r="L131" i="1" s="1"/>
  <c r="I77" i="1"/>
  <c r="L77" i="1" s="1"/>
  <c r="I43" i="1"/>
  <c r="L43" i="1" s="1"/>
  <c r="I89" i="1"/>
  <c r="L89" i="1" s="1"/>
  <c r="I130" i="1"/>
  <c r="L130" i="1" s="1"/>
  <c r="I121" i="1"/>
  <c r="L121" i="1" s="1"/>
  <c r="I60" i="1"/>
  <c r="I56" i="1"/>
  <c r="I9" i="1"/>
  <c r="I8" i="1"/>
  <c r="I186" i="1"/>
  <c r="I20" i="1"/>
  <c r="I197" i="1"/>
  <c r="I140" i="1"/>
  <c r="I39" i="1"/>
  <c r="L39" i="1" s="1"/>
  <c r="I2" i="1"/>
  <c r="L2" i="1" s="1"/>
  <c r="I154" i="1"/>
  <c r="L154" i="1" s="1"/>
  <c r="I11" i="1"/>
  <c r="L11" i="1" s="1"/>
  <c r="I179" i="1"/>
  <c r="I155" i="1"/>
  <c r="I71" i="1"/>
  <c r="I75" i="1"/>
  <c r="I67" i="1"/>
  <c r="I64" i="1"/>
  <c r="L64" i="1" s="1"/>
  <c r="I138" i="1"/>
  <c r="L138" i="1" s="1"/>
  <c r="I178" i="1"/>
  <c r="L178" i="1" s="1"/>
  <c r="I86" i="1"/>
  <c r="I106" i="1"/>
  <c r="I25" i="1"/>
  <c r="I202" i="1"/>
  <c r="L202" i="1" s="1"/>
  <c r="L55" i="1" l="1"/>
  <c r="L95" i="1"/>
  <c r="L38" i="1"/>
  <c r="L79" i="1"/>
  <c r="L168" i="1"/>
  <c r="L172" i="1"/>
  <c r="L188" i="1"/>
  <c r="M188" i="1" s="1"/>
  <c r="L67" i="1"/>
  <c r="L75" i="1"/>
  <c r="L53" i="1"/>
  <c r="L126" i="1"/>
  <c r="L86" i="1"/>
  <c r="L60" i="1"/>
  <c r="L58" i="1"/>
  <c r="L23" i="1"/>
  <c r="L71" i="1"/>
  <c r="L148" i="1"/>
  <c r="L177" i="1"/>
  <c r="L103" i="1"/>
  <c r="L90" i="1"/>
  <c r="L155" i="1"/>
  <c r="L170" i="1"/>
  <c r="L204" i="1"/>
  <c r="L24" i="1"/>
  <c r="L30" i="1"/>
  <c r="L159" i="1"/>
  <c r="L179" i="1"/>
  <c r="L152" i="1"/>
  <c r="L142" i="1"/>
  <c r="L117" i="1"/>
  <c r="L111" i="1"/>
  <c r="L137" i="1"/>
  <c r="L205" i="1"/>
</calcChain>
</file>

<file path=xl/sharedStrings.xml><?xml version="1.0" encoding="utf-8"?>
<sst xmlns="http://schemas.openxmlformats.org/spreadsheetml/2006/main" count="222" uniqueCount="221">
  <si>
    <t>Roll no.</t>
  </si>
  <si>
    <t>Name of the student</t>
  </si>
  <si>
    <t>DEVESH MEENA</t>
  </si>
  <si>
    <t>ADARSH SHARMA</t>
  </si>
  <si>
    <t>AMAN KHILANI</t>
  </si>
  <si>
    <t>DIVYANSH MITTAL</t>
  </si>
  <si>
    <t>KRUTARTH DESHMUKH</t>
  </si>
  <si>
    <t>NAMAN GOYAL</t>
  </si>
  <si>
    <t>OM SINGH</t>
  </si>
  <si>
    <t>PRIYANSH SINGH</t>
  </si>
  <si>
    <t>SAYEEDUL ISLAM SHEIKH</t>
  </si>
  <si>
    <t>SHREYAN SHARMA</t>
  </si>
  <si>
    <t>VAIBHAV SAHU</t>
  </si>
  <si>
    <t>VIBHANSH BHATIA</t>
  </si>
  <si>
    <t>VIKAS</t>
  </si>
  <si>
    <t>VISHAL RANJAN</t>
  </si>
  <si>
    <t>A S PRAJIT</t>
  </si>
  <si>
    <t>AADITYA BIJARNIYA</t>
  </si>
  <si>
    <t>AAMIR AHMAD</t>
  </si>
  <si>
    <t>AAYUSH ANAND</t>
  </si>
  <si>
    <t>AAYUSH DUBEY</t>
  </si>
  <si>
    <t>ABHIRUP GUPTA</t>
  </si>
  <si>
    <t>ADABALA RAM HANEESH</t>
  </si>
  <si>
    <t>ADITYA KUMAR</t>
  </si>
  <si>
    <t>ADITYA MANE</t>
  </si>
  <si>
    <t>ADITYA PRAKASH</t>
  </si>
  <si>
    <t>ADWAAIIT PANDE</t>
  </si>
  <si>
    <t>ADYANSU BEURA</t>
  </si>
  <si>
    <t>AHER MUKUND SHANKAR</t>
  </si>
  <si>
    <t>AKASH</t>
  </si>
  <si>
    <t>AKSHAT DHOTE</t>
  </si>
  <si>
    <t>AKSHAT SHARMA</t>
  </si>
  <si>
    <t>AKSHAT SINGHANIA</t>
  </si>
  <si>
    <t>AKSHIT GUPTA</t>
  </si>
  <si>
    <t>AKUL AGARWAL</t>
  </si>
  <si>
    <t>AMAN KUMAR</t>
  </si>
  <si>
    <t>AMAN MALOO</t>
  </si>
  <si>
    <t>AMAN UPADHYAY</t>
  </si>
  <si>
    <t>AMEER ZAMAN SYED NAZAR</t>
  </si>
  <si>
    <t>ANANYA KARTICK IYER</t>
  </si>
  <si>
    <t>ANIRVAN TYAGI</t>
  </si>
  <si>
    <t>ANSH VERMA</t>
  </si>
  <si>
    <t>ANSHIKA MAKHIJA</t>
  </si>
  <si>
    <t>ANUJ AGRAWAL</t>
  </si>
  <si>
    <t>ANUPAMA PRABHAKARAN</t>
  </si>
  <si>
    <t>ANUSHKA GUPTA</t>
  </si>
  <si>
    <t>ARAVA PREMA CHANDRA REDDY</t>
  </si>
  <si>
    <t>ARITRA KOLAY</t>
  </si>
  <si>
    <t>ARNAV AGARWAL</t>
  </si>
  <si>
    <t>ARNAV GUPTA</t>
  </si>
  <si>
    <t>ARPIT KOTARYA</t>
  </si>
  <si>
    <t>ARYAN MAHESH GUPTA</t>
  </si>
  <si>
    <t>ASHISH UPADHYAY</t>
  </si>
  <si>
    <t>ASHWARYA BHANDARKAR</t>
  </si>
  <si>
    <t>ASHWIN BARNWAL</t>
  </si>
  <si>
    <t>ATANU BISWAS</t>
  </si>
  <si>
    <t>AVULA AJAY</t>
  </si>
  <si>
    <t>AVVARI HRUSHIKESH ROOP</t>
  </si>
  <si>
    <t>AYUSH GAUTAM</t>
  </si>
  <si>
    <t>AYUSH JHA</t>
  </si>
  <si>
    <t>AYUSH KUMAR</t>
  </si>
  <si>
    <t>AYUSH ROHIT INAMDAR</t>
  </si>
  <si>
    <t>BHUVAN KUMAR K P</t>
  </si>
  <si>
    <t>BOLLU SHARATH CHANDRA</t>
  </si>
  <si>
    <t>CHAITANYA SHAILENDRA NITAWE</t>
  </si>
  <si>
    <t>CHAUHAN KABIR MANISH</t>
  </si>
  <si>
    <t>CHINMAY SINGH</t>
  </si>
  <si>
    <t>DARSH VIKRANT PATIL</t>
  </si>
  <si>
    <t>DEEPAK BRAHM</t>
  </si>
  <si>
    <t>DHAKSHITH SURESHKUMAR</t>
  </si>
  <si>
    <t>DHARAVATH SAKSHI</t>
  </si>
  <si>
    <t>DISHANK KUMAWAT</t>
  </si>
  <si>
    <t>DWEEP JOSHIPURA</t>
  </si>
  <si>
    <t>G SRINIKETH BALACHANDAR</t>
  </si>
  <si>
    <t>GADDAM SAI SUJAN</t>
  </si>
  <si>
    <t>GANTA NIHARIKA</t>
  </si>
  <si>
    <t>GOKAVARAPU MANIKANTA SRI AKSHITH</t>
  </si>
  <si>
    <t>HARIHARAN SIVAKUMAR</t>
  </si>
  <si>
    <t>HARSH A. KUMAR</t>
  </si>
  <si>
    <t>HARSH SARAWAGI</t>
  </si>
  <si>
    <t>HARSH VERMA</t>
  </si>
  <si>
    <t>HARSHADA VINAYAK RAJHANS</t>
  </si>
  <si>
    <t>HARSHIT MEENA</t>
  </si>
  <si>
    <t>HARSHUL KAMBOJ</t>
  </si>
  <si>
    <t>HIMESH PADIYAR</t>
  </si>
  <si>
    <t>HIMESH PRATAP SINGH</t>
  </si>
  <si>
    <t>IKRIMA BADR SHAMIM AHMED</t>
  </si>
  <si>
    <t>ISHITA BEDI</t>
  </si>
  <si>
    <t>ISHITA PORWAL</t>
  </si>
  <si>
    <t>ARNAV ANIL JAGTAP</t>
  </si>
  <si>
    <t>JAIVEER DEEPAK SABHARWAL</t>
  </si>
  <si>
    <t>JASKARAN SINGH</t>
  </si>
  <si>
    <t>JAYKANT NAYAK</t>
  </si>
  <si>
    <t>JOEL BANSAL</t>
  </si>
  <si>
    <t>JOLLU LAKSHMI SAI LAHARII</t>
  </si>
  <si>
    <t>KAJAL</t>
  </si>
  <si>
    <t>KARAN KALPESH DAVE</t>
  </si>
  <si>
    <t>KARAN KUMAR</t>
  </si>
  <si>
    <t>KARANAM GUNA SEKHAR SUBBARAO</t>
  </si>
  <si>
    <t>KARPURAPU ANIKET KUMAR</t>
  </si>
  <si>
    <t>KAUSHAL MEHRA</t>
  </si>
  <si>
    <t>KAVIN CHOWDARY GONUGUNTLA</t>
  </si>
  <si>
    <t>KAVITA KUMARI</t>
  </si>
  <si>
    <t>KESHAV MEENA</t>
  </si>
  <si>
    <t>KISHOR KUNAL</t>
  </si>
  <si>
    <t>KRISH ARORA</t>
  </si>
  <si>
    <t>KRISH JAIN</t>
  </si>
  <si>
    <t>KRISH VIJAY TIWARI</t>
  </si>
  <si>
    <t>KRISHNA AGRAWAL</t>
  </si>
  <si>
    <t>KSHITIJ SHUKLA</t>
  </si>
  <si>
    <t>KUMMARI SUDHESHNA</t>
  </si>
  <si>
    <t>KURUVA GOPIKA</t>
  </si>
  <si>
    <t>KUSHAL JAIN</t>
  </si>
  <si>
    <t>MADIGUNDU SARAYU</t>
  </si>
  <si>
    <t>MAHAMKALI MURARI</t>
  </si>
  <si>
    <t>MAHIR JAIN</t>
  </si>
  <si>
    <t>MANAN JINDAL</t>
  </si>
  <si>
    <t>MANSI SHYAM GHODKE</t>
  </si>
  <si>
    <t>MEHER NARULA</t>
  </si>
  <si>
    <t>MOHD SARIM ALI</t>
  </si>
  <si>
    <t>MRIGEESH ASHWIN K</t>
  </si>
  <si>
    <t>MUKUL SAINI</t>
  </si>
  <si>
    <t>NAMAN PATIDAR</t>
  </si>
  <si>
    <t>NAYANI OM SWARUP</t>
  </si>
  <si>
    <t>NIKHIL</t>
  </si>
  <si>
    <t>NIKHIL VERMA</t>
  </si>
  <si>
    <t>NIMMAGADDA SATWIK</t>
  </si>
  <si>
    <t>NITESH KUMAR</t>
  </si>
  <si>
    <t>NITIN KUMAR</t>
  </si>
  <si>
    <t>OM JI GUPTA</t>
  </si>
  <si>
    <t>OSHITA SURESH BHONGADE</t>
  </si>
  <si>
    <t>PAILLA LAVANYA</t>
  </si>
  <si>
    <t>PALLA KAVYA</t>
  </si>
  <si>
    <t>PALLAV RASTOGI</t>
  </si>
  <si>
    <t>PANDYA RUSHABH BHAVESH</t>
  </si>
  <si>
    <t>PARV JAIN</t>
  </si>
  <si>
    <t>PRABHANSHU JAIN</t>
  </si>
  <si>
    <t>PRANSHU AGARWAL</t>
  </si>
  <si>
    <t>PRATEEK RAJ</t>
  </si>
  <si>
    <t>PRATYUSH KUMAR SINGH</t>
  </si>
  <si>
    <t>PRATYUSH SINGH</t>
  </si>
  <si>
    <t>PRATYUSH SRIVASTAVA</t>
  </si>
  <si>
    <t>PREETI DHRUW</t>
  </si>
  <si>
    <t>PRIYANSHU MEENA</t>
  </si>
  <si>
    <t>PUNEET SINGH</t>
  </si>
  <si>
    <t>RACHIT AGARWAL</t>
  </si>
  <si>
    <t>RAHUL MEENA</t>
  </si>
  <si>
    <t>RAHUL SINGH</t>
  </si>
  <si>
    <t>RAJAT KUMAR</t>
  </si>
  <si>
    <t>RIDHIMA SHARMA</t>
  </si>
  <si>
    <t>RIGVED BHALCHANDRA KOLI</t>
  </si>
  <si>
    <t>ROHAN GARG</t>
  </si>
  <si>
    <t>ROHAN RAJ</t>
  </si>
  <si>
    <t>ROHIT SINGH</t>
  </si>
  <si>
    <t>RONIT KUMAR</t>
  </si>
  <si>
    <t>RUCHIKA RAJ</t>
  </si>
  <si>
    <t>RUPAM DAS</t>
  </si>
  <si>
    <t>SAHIL PANDEY</t>
  </si>
  <si>
    <t>SAMARTH SHARMA BHARDWAJ</t>
  </si>
  <si>
    <t>SANYAM KANSAL</t>
  </si>
  <si>
    <t>SARTHAK SHEKHAR</t>
  </si>
  <si>
    <t>SARTHAK VERMA</t>
  </si>
  <si>
    <t>SATTYADEEP GARG</t>
  </si>
  <si>
    <t>SHACHHI SHRIVASTAV</t>
  </si>
  <si>
    <t>SHAIK ABDUL SAMEER</t>
  </si>
  <si>
    <t>SHASHWAT KUMAR BANSAL</t>
  </si>
  <si>
    <t>SHAURYA SINGH</t>
  </si>
  <si>
    <t>SHITAL ANURATH NIRAS</t>
  </si>
  <si>
    <t>SHIVAM YADAV</t>
  </si>
  <si>
    <t>SHIVRAM KHATIK</t>
  </si>
  <si>
    <t>SHRAVAN</t>
  </si>
  <si>
    <t>SHRUTI</t>
  </si>
  <si>
    <t>SIMRAH MUSKAAN</t>
  </si>
  <si>
    <t>SINGH AYUSH SANJAYKUMAR</t>
  </si>
  <si>
    <t>SIRI CHANDANA NALLURI</t>
  </si>
  <si>
    <t>SIRINGI SAMANVITHA</t>
  </si>
  <si>
    <t>SOHAM GIRISH PANCHAL</t>
  </si>
  <si>
    <t>SOHAM ROYCHOWDHURY</t>
  </si>
  <si>
    <t>SOMYA KUMAR</t>
  </si>
  <si>
    <t>SOUMYADIP SHYAM</t>
  </si>
  <si>
    <t>SOUMYAJIT HALDER</t>
  </si>
  <si>
    <t>SUDHANSHU SAROJ</t>
  </si>
  <si>
    <t>SUMIT VISHWAKARMA</t>
  </si>
  <si>
    <t>SUNIJ SINGH GANGWAR</t>
  </si>
  <si>
    <t>SURESH KUMAR MEENA</t>
  </si>
  <si>
    <t>SWAPNIL GARG</t>
  </si>
  <si>
    <t>TALAKOLA LIKHITHA</t>
  </si>
  <si>
    <t>TANMAY ROY</t>
  </si>
  <si>
    <t>TARAWAT SHREYANSH PRAKASH</t>
  </si>
  <si>
    <t>TEJAS SINGH</t>
  </si>
  <si>
    <t>THARUN D</t>
  </si>
  <si>
    <t>TIRLANGI BADRINATH</t>
  </si>
  <si>
    <t>UNNATI NAYANKUMAR GANGURDE</t>
  </si>
  <si>
    <t>V MOULIPRASANNA</t>
  </si>
  <si>
    <t>VAIBHAV CHAUHAN</t>
  </si>
  <si>
    <t>VAIBHAV MEENA</t>
  </si>
  <si>
    <t>VARSHA PILLAI INDUKUMAR</t>
  </si>
  <si>
    <t>VASHI DIWAKAR</t>
  </si>
  <si>
    <t>VATTIKUTI SUSRUTH</t>
  </si>
  <si>
    <t>VEDANT NEEKHRA</t>
  </si>
  <si>
    <t>VENNAPA REDDY SHIVALASYA</t>
  </si>
  <si>
    <t>VIBHANSH KUMAR</t>
  </si>
  <si>
    <t>VIKAS SAINI</t>
  </si>
  <si>
    <t>VIVEK MEENA</t>
  </si>
  <si>
    <t>VOOBA RAJKUMAR</t>
  </si>
  <si>
    <t>WASI HUSAIN</t>
  </si>
  <si>
    <t>YASHWI AGARWAL</t>
  </si>
  <si>
    <t>YENNI RISHI</t>
  </si>
  <si>
    <t>EC lab</t>
  </si>
  <si>
    <t>CS Lab</t>
  </si>
  <si>
    <t>CS_End</t>
  </si>
  <si>
    <t>EMEC_End</t>
  </si>
  <si>
    <t>EC_mid</t>
  </si>
  <si>
    <t>EMEC Lab+midsem</t>
  </si>
  <si>
    <t>EC_End</t>
  </si>
  <si>
    <t>CS_norm</t>
  </si>
  <si>
    <t>EC_norm</t>
  </si>
  <si>
    <t>EE480 (/100)</t>
  </si>
  <si>
    <t>EE380(/100)</t>
  </si>
  <si>
    <t>AVG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</si>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</sst>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1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5A9E-4510-41C8-B63C-F511A7DC7EFD}">
  <dimension ref="A1:N208"/>
  <sheetViews>
    <sheetView tabSelected="1" topLeftCell="E1" workbookViewId="0">
      <pane ySplit="1" topLeftCell="A2" activePane="bottomLeft" state="frozen"/>
      <selection activeCell="B1" sqref="B1"/>
      <selection pane="bottomLeft" activeCell="M13" sqref="M13"/>
    </sheetView>
  </sheetViews>
  <sheetFormatPr defaultColWidth="20.88671875" defaultRowHeight="14.4" x14ac:dyDescent="0.3"/>
  <sheetData>
    <row r="1" spans="1:14" x14ac:dyDescent="0.3">
      <c r="A1" t="s">
        <v>0</v>
      </c>
      <c r="B1" t="s">
        <v>1</v>
      </c>
      <c r="C1" s="1" t="s">
        <v>208</v>
      </c>
      <c r="D1" s="1" t="s">
        <v>209</v>
      </c>
      <c r="E1" s="1" t="s">
        <v>213</v>
      </c>
      <c r="F1" s="1" t="s">
        <v>212</v>
      </c>
      <c r="G1" s="1" t="s">
        <v>211</v>
      </c>
      <c r="H1" s="1" t="s">
        <v>210</v>
      </c>
      <c r="I1" s="1" t="s">
        <v>215</v>
      </c>
      <c r="J1" s="1" t="s">
        <v>214</v>
      </c>
      <c r="K1" s="1" t="s">
        <v>216</v>
      </c>
      <c r="L1" s="1" t="s">
        <v>218</v>
      </c>
      <c r="M1" s="1" t="s">
        <v>217</v>
      </c>
    </row>
    <row r="2" spans="1:14" x14ac:dyDescent="0.3">
      <c r="A2">
        <v>231097</v>
      </c>
      <c r="B2" t="s">
        <v>190</v>
      </c>
      <c r="C2">
        <v>20</v>
      </c>
      <c r="D2">
        <v>24.875</v>
      </c>
      <c r="E2">
        <v>23.666666666666668</v>
      </c>
      <c r="F2">
        <v>5</v>
      </c>
      <c r="G2">
        <v>0</v>
      </c>
      <c r="H2">
        <v>0</v>
      </c>
      <c r="I2">
        <f>H2*1.594388</f>
        <v>0</v>
      </c>
      <c r="J2">
        <v>25</v>
      </c>
      <c r="K2">
        <v>25</v>
      </c>
      <c r="L2">
        <f>C2+D2+E2+F2+G2+I2+K2</f>
        <v>98.541666666666671</v>
      </c>
    </row>
    <row r="3" spans="1:14" s="2" customFormat="1" x14ac:dyDescent="0.3">
      <c r="A3">
        <v>230669</v>
      </c>
      <c r="B3" t="s">
        <v>121</v>
      </c>
      <c r="C3">
        <v>20</v>
      </c>
      <c r="D3">
        <v>24.5</v>
      </c>
      <c r="E3">
        <v>23.5</v>
      </c>
      <c r="F3">
        <v>5</v>
      </c>
      <c r="G3">
        <v>25</v>
      </c>
      <c r="H3">
        <v>0</v>
      </c>
      <c r="I3">
        <f>H3*1.594388</f>
        <v>0</v>
      </c>
      <c r="J3">
        <v>0</v>
      </c>
      <c r="K3">
        <f>J3*1.255082</f>
        <v>0</v>
      </c>
      <c r="L3">
        <f>C3+D3+E3+F3+G3+I3+K3</f>
        <v>98</v>
      </c>
      <c r="M3"/>
    </row>
    <row r="4" spans="1:14" s="2" customFormat="1" x14ac:dyDescent="0.3">
      <c r="A4">
        <v>230108</v>
      </c>
      <c r="B4" t="s">
        <v>34</v>
      </c>
      <c r="C4">
        <v>20</v>
      </c>
      <c r="D4">
        <v>24.9375</v>
      </c>
      <c r="E4">
        <v>23.041666666666668</v>
      </c>
      <c r="F4">
        <v>5</v>
      </c>
      <c r="G4">
        <v>0</v>
      </c>
      <c r="H4">
        <v>0</v>
      </c>
      <c r="I4">
        <f>H4*1.594388</f>
        <v>0</v>
      </c>
      <c r="J4">
        <v>21</v>
      </c>
      <c r="K4">
        <v>25</v>
      </c>
      <c r="L4">
        <f>C4+D4+E4+F4+G4+I4+K4</f>
        <v>97.979166666666671</v>
      </c>
      <c r="M4"/>
    </row>
    <row r="5" spans="1:14" s="2" customFormat="1" x14ac:dyDescent="0.3">
      <c r="A5" s="3">
        <v>230875</v>
      </c>
      <c r="B5" s="3" t="s">
        <v>154</v>
      </c>
      <c r="C5" s="3">
        <v>20</v>
      </c>
      <c r="D5" s="3">
        <v>24.0625</v>
      </c>
      <c r="E5" s="3">
        <v>22.583333333333332</v>
      </c>
      <c r="F5" s="3">
        <v>5</v>
      </c>
      <c r="G5" s="3">
        <v>0</v>
      </c>
      <c r="H5" s="3">
        <v>0</v>
      </c>
      <c r="I5" s="3">
        <f>H5*1.594388</f>
        <v>0</v>
      </c>
      <c r="J5" s="3">
        <v>24</v>
      </c>
      <c r="K5" s="3">
        <v>25</v>
      </c>
      <c r="L5" s="3">
        <f>C5+D5+E5+F5+G5+I5+K5</f>
        <v>96.645833333333329</v>
      </c>
      <c r="M5" s="3"/>
    </row>
    <row r="6" spans="1:14" s="2" customFormat="1" x14ac:dyDescent="0.3">
      <c r="A6">
        <v>230657</v>
      </c>
      <c r="B6" t="s">
        <v>119</v>
      </c>
      <c r="C6">
        <v>20</v>
      </c>
      <c r="D6">
        <v>24.125</v>
      </c>
      <c r="E6">
        <v>22.5</v>
      </c>
      <c r="F6">
        <v>5</v>
      </c>
      <c r="G6">
        <v>25</v>
      </c>
      <c r="H6">
        <v>0</v>
      </c>
      <c r="I6">
        <f>H6*1.594388</f>
        <v>0</v>
      </c>
      <c r="J6">
        <v>0</v>
      </c>
      <c r="K6">
        <f>J6*1.255082</f>
        <v>0</v>
      </c>
      <c r="L6">
        <f>C6+D6+E6+F6+G6+I6+K6</f>
        <v>96.625</v>
      </c>
      <c r="M6"/>
    </row>
    <row r="7" spans="1:14" s="2" customFormat="1" x14ac:dyDescent="0.3">
      <c r="A7">
        <v>230258</v>
      </c>
      <c r="B7" t="s">
        <v>59</v>
      </c>
      <c r="C7">
        <v>20</v>
      </c>
      <c r="D7">
        <v>24.375</v>
      </c>
      <c r="E7">
        <v>21.75</v>
      </c>
      <c r="F7">
        <v>5</v>
      </c>
      <c r="G7">
        <v>0</v>
      </c>
      <c r="H7">
        <v>18.5</v>
      </c>
      <c r="I7">
        <v>25</v>
      </c>
      <c r="J7">
        <v>0</v>
      </c>
      <c r="K7">
        <f>J7*1.255082</f>
        <v>0</v>
      </c>
      <c r="L7">
        <f>C7+D7+E7+F7+G7+I7+K7</f>
        <v>96.125</v>
      </c>
      <c r="M7"/>
    </row>
    <row r="8" spans="1:14" x14ac:dyDescent="0.3">
      <c r="A8">
        <v>231051</v>
      </c>
      <c r="B8" t="s">
        <v>183</v>
      </c>
      <c r="C8">
        <v>20</v>
      </c>
      <c r="D8">
        <v>24.125</v>
      </c>
      <c r="E8">
        <v>22</v>
      </c>
      <c r="F8">
        <v>5</v>
      </c>
      <c r="G8">
        <v>0</v>
      </c>
      <c r="H8">
        <v>0</v>
      </c>
      <c r="I8">
        <f>H8*1.594388</f>
        <v>0</v>
      </c>
      <c r="J8">
        <v>20.5</v>
      </c>
      <c r="K8">
        <v>25</v>
      </c>
      <c r="L8">
        <f>C8+D8+E8+F8+G8+I8+K8</f>
        <v>96.125</v>
      </c>
    </row>
    <row r="9" spans="1:14" s="2" customFormat="1" x14ac:dyDescent="0.3">
      <c r="A9">
        <v>231049</v>
      </c>
      <c r="B9" t="s">
        <v>182</v>
      </c>
      <c r="C9">
        <v>19.5</v>
      </c>
      <c r="D9">
        <v>25</v>
      </c>
      <c r="E9">
        <v>21.583333333333332</v>
      </c>
      <c r="F9">
        <v>5</v>
      </c>
      <c r="G9">
        <v>25</v>
      </c>
      <c r="H9">
        <v>0</v>
      </c>
      <c r="I9">
        <f>H9*1.594388</f>
        <v>0</v>
      </c>
      <c r="J9">
        <v>0</v>
      </c>
      <c r="K9">
        <f>J9*1.255082</f>
        <v>0</v>
      </c>
      <c r="L9">
        <f>C9+D9+E9+F9+G9+I9+K9</f>
        <v>96.083333333333329</v>
      </c>
      <c r="M9"/>
    </row>
    <row r="10" spans="1:14" s="2" customFormat="1" x14ac:dyDescent="0.3">
      <c r="A10">
        <v>230488</v>
      </c>
      <c r="B10" t="s">
        <v>88</v>
      </c>
      <c r="C10">
        <v>20</v>
      </c>
      <c r="D10">
        <v>24.625</v>
      </c>
      <c r="E10">
        <v>23.083333333333332</v>
      </c>
      <c r="F10">
        <v>3.5</v>
      </c>
      <c r="G10">
        <v>0</v>
      </c>
      <c r="H10">
        <v>0</v>
      </c>
      <c r="I10">
        <f>H10*1.594388</f>
        <v>0</v>
      </c>
      <c r="J10">
        <v>19.5</v>
      </c>
      <c r="K10">
        <f>J10*1.255082</f>
        <v>24.474098999999999</v>
      </c>
      <c r="L10">
        <f>C10+D10+E10+F10+G10+I10+K10</f>
        <v>95.682432333333324</v>
      </c>
      <c r="M10"/>
    </row>
    <row r="11" spans="1:14" s="2" customFormat="1" x14ac:dyDescent="0.3">
      <c r="A11">
        <v>231110</v>
      </c>
      <c r="B11" t="s">
        <v>193</v>
      </c>
      <c r="C11">
        <v>20</v>
      </c>
      <c r="D11">
        <v>24.75</v>
      </c>
      <c r="E11">
        <v>20.875</v>
      </c>
      <c r="F11">
        <v>5</v>
      </c>
      <c r="G11">
        <v>0</v>
      </c>
      <c r="H11">
        <v>0</v>
      </c>
      <c r="I11">
        <f>H11*1.594388</f>
        <v>0</v>
      </c>
      <c r="J11">
        <v>22.5</v>
      </c>
      <c r="K11">
        <v>25</v>
      </c>
      <c r="L11">
        <f>C11+D11+E11+F11+G11+I11+K11</f>
        <v>95.625</v>
      </c>
      <c r="M11"/>
    </row>
    <row r="12" spans="1:14" x14ac:dyDescent="0.3">
      <c r="A12">
        <v>230719</v>
      </c>
      <c r="B12" t="s">
        <v>129</v>
      </c>
      <c r="C12">
        <v>18.37</v>
      </c>
      <c r="D12">
        <v>24.375</v>
      </c>
      <c r="E12">
        <v>22.833333333333332</v>
      </c>
      <c r="F12">
        <v>5</v>
      </c>
      <c r="G12">
        <v>0</v>
      </c>
      <c r="H12">
        <v>19</v>
      </c>
      <c r="I12">
        <v>25</v>
      </c>
      <c r="J12">
        <v>0</v>
      </c>
      <c r="K12">
        <f>J12*1.255082</f>
        <v>0</v>
      </c>
      <c r="L12">
        <f>C12+D12+E12+F12+G12+I12+K12</f>
        <v>95.578333333333333</v>
      </c>
    </row>
    <row r="13" spans="1:14" s="2" customFormat="1" x14ac:dyDescent="0.3">
      <c r="A13">
        <v>230143</v>
      </c>
      <c r="B13" t="s">
        <v>40</v>
      </c>
      <c r="C13">
        <v>18.5</v>
      </c>
      <c r="D13">
        <v>24.25</v>
      </c>
      <c r="E13">
        <v>22.75</v>
      </c>
      <c r="F13">
        <v>5</v>
      </c>
      <c r="G13">
        <v>0</v>
      </c>
      <c r="H13">
        <v>16</v>
      </c>
      <c r="I13">
        <v>25</v>
      </c>
      <c r="J13">
        <v>0</v>
      </c>
      <c r="K13">
        <f>J13*1.255082</f>
        <v>0</v>
      </c>
      <c r="L13">
        <f>C13+D13+E13+F13+G13+I13+K13</f>
        <v>95.5</v>
      </c>
      <c r="M13"/>
    </row>
    <row r="14" spans="1:14" x14ac:dyDescent="0.3">
      <c r="A14">
        <v>230487</v>
      </c>
      <c r="B14" t="s">
        <v>87</v>
      </c>
      <c r="C14">
        <v>20</v>
      </c>
      <c r="D14">
        <v>23.875</v>
      </c>
      <c r="E14">
        <v>23.583333333333332</v>
      </c>
      <c r="F14">
        <v>3</v>
      </c>
      <c r="G14">
        <v>0</v>
      </c>
      <c r="H14">
        <v>23</v>
      </c>
      <c r="I14">
        <v>25</v>
      </c>
      <c r="J14">
        <v>0</v>
      </c>
      <c r="K14">
        <f>J14*1.255082</f>
        <v>0</v>
      </c>
      <c r="L14">
        <f>C14+D14+E14+F14+G14+I14+K14</f>
        <v>95.458333333333329</v>
      </c>
    </row>
    <row r="15" spans="1:14" x14ac:dyDescent="0.3">
      <c r="A15">
        <v>230762</v>
      </c>
      <c r="B15" t="s">
        <v>136</v>
      </c>
      <c r="C15">
        <v>20</v>
      </c>
      <c r="D15">
        <v>24.375</v>
      </c>
      <c r="E15">
        <v>21.083333333333332</v>
      </c>
      <c r="F15">
        <v>5</v>
      </c>
      <c r="G15">
        <v>0</v>
      </c>
      <c r="H15">
        <v>16.5</v>
      </c>
      <c r="I15">
        <v>25</v>
      </c>
      <c r="J15">
        <v>0</v>
      </c>
      <c r="K15">
        <f>J15*1.255082</f>
        <v>0</v>
      </c>
      <c r="L15">
        <f>C15+D15+E15+F15+G15+I15+K15</f>
        <v>95.458333333333329</v>
      </c>
    </row>
    <row r="16" spans="1:14" x14ac:dyDescent="0.3">
      <c r="A16">
        <v>230618</v>
      </c>
      <c r="B16" t="s">
        <v>115</v>
      </c>
      <c r="C16">
        <v>20</v>
      </c>
      <c r="D16">
        <v>25</v>
      </c>
      <c r="E16">
        <v>23.916666666666668</v>
      </c>
      <c r="F16">
        <v>5</v>
      </c>
      <c r="G16">
        <v>21.5</v>
      </c>
      <c r="H16">
        <v>0</v>
      </c>
      <c r="I16">
        <f>H16*1.594388</f>
        <v>0</v>
      </c>
      <c r="J16">
        <v>0</v>
      </c>
      <c r="K16">
        <f>J16*1.255082</f>
        <v>0</v>
      </c>
      <c r="L16">
        <f>C16+D16+E16+F16+G16+I16+K16</f>
        <v>95.416666666666671</v>
      </c>
      <c r="M16" s="4" t="s">
        <v>219</v>
      </c>
      <c r="N16" s="5">
        <f>AVERAGE(L2:L208)</f>
        <v>82.015512872785905</v>
      </c>
    </row>
    <row r="17" spans="1:14" x14ac:dyDescent="0.3">
      <c r="A17">
        <v>230406</v>
      </c>
      <c r="B17" t="s">
        <v>74</v>
      </c>
      <c r="C17">
        <v>20</v>
      </c>
      <c r="D17">
        <v>24.375</v>
      </c>
      <c r="E17">
        <v>21</v>
      </c>
      <c r="F17">
        <v>5</v>
      </c>
      <c r="G17">
        <v>0</v>
      </c>
      <c r="H17">
        <v>0</v>
      </c>
      <c r="I17">
        <f>H17*1.594388</f>
        <v>0</v>
      </c>
      <c r="J17">
        <v>21</v>
      </c>
      <c r="K17">
        <v>25</v>
      </c>
      <c r="L17">
        <f>C17+D17+E17+F17+G17+I17+K17</f>
        <v>95.375</v>
      </c>
      <c r="M17" s="4" t="s">
        <v>220</v>
      </c>
      <c r="N17" s="6">
        <f>_xlfn.STDEV.P(L2:L208)</f>
        <v>11.836933259973257</v>
      </c>
    </row>
    <row r="18" spans="1:14" x14ac:dyDescent="0.3">
      <c r="A18">
        <v>230196</v>
      </c>
      <c r="B18" t="s">
        <v>48</v>
      </c>
      <c r="C18">
        <v>20</v>
      </c>
      <c r="D18">
        <v>25</v>
      </c>
      <c r="E18">
        <v>20.833333333333332</v>
      </c>
      <c r="F18">
        <v>4.5</v>
      </c>
      <c r="G18">
        <v>25</v>
      </c>
      <c r="H18">
        <v>0</v>
      </c>
      <c r="I18">
        <f>H18*1.594388</f>
        <v>0</v>
      </c>
      <c r="J18">
        <v>0</v>
      </c>
      <c r="K18">
        <f>J18*1.255082</f>
        <v>0</v>
      </c>
      <c r="L18">
        <f>C18+D18+E18+F18+G18+I18+K18</f>
        <v>95.333333333333329</v>
      </c>
    </row>
    <row r="19" spans="1:14" x14ac:dyDescent="0.3">
      <c r="A19">
        <v>230979</v>
      </c>
      <c r="B19" t="s">
        <v>169</v>
      </c>
      <c r="C19">
        <v>20</v>
      </c>
      <c r="D19">
        <v>23.75</v>
      </c>
      <c r="E19">
        <v>21.333333333333332</v>
      </c>
      <c r="F19">
        <v>5</v>
      </c>
      <c r="G19">
        <v>0</v>
      </c>
      <c r="H19">
        <v>18</v>
      </c>
      <c r="I19">
        <v>25</v>
      </c>
      <c r="J19">
        <v>0</v>
      </c>
      <c r="K19">
        <f>J19*1.255082</f>
        <v>0</v>
      </c>
      <c r="L19">
        <f>C19+D19+E19+F19+G19+I19+K19</f>
        <v>95.083333333333329</v>
      </c>
    </row>
    <row r="20" spans="1:14" x14ac:dyDescent="0.3">
      <c r="A20">
        <v>231069</v>
      </c>
      <c r="B20" t="s">
        <v>185</v>
      </c>
      <c r="C20">
        <v>20</v>
      </c>
      <c r="D20">
        <v>24.125</v>
      </c>
      <c r="E20">
        <v>22.916666666666668</v>
      </c>
      <c r="F20">
        <v>5</v>
      </c>
      <c r="G20">
        <v>23</v>
      </c>
      <c r="H20">
        <v>0</v>
      </c>
      <c r="I20">
        <f>H20*1.594388</f>
        <v>0</v>
      </c>
      <c r="J20">
        <v>0</v>
      </c>
      <c r="K20">
        <f>J20*1.255082</f>
        <v>0</v>
      </c>
      <c r="L20">
        <f>C20+D20+E20+F20+G20+I20+K20</f>
        <v>95.041666666666671</v>
      </c>
    </row>
    <row r="21" spans="1:14" x14ac:dyDescent="0.3">
      <c r="A21">
        <v>230686</v>
      </c>
      <c r="B21" t="s">
        <v>123</v>
      </c>
      <c r="C21">
        <v>20</v>
      </c>
      <c r="D21">
        <v>24</v>
      </c>
      <c r="E21">
        <v>21.791666666666668</v>
      </c>
      <c r="F21">
        <v>4</v>
      </c>
      <c r="G21">
        <v>0</v>
      </c>
      <c r="H21">
        <v>18</v>
      </c>
      <c r="I21">
        <v>25</v>
      </c>
      <c r="J21">
        <v>0</v>
      </c>
      <c r="K21">
        <f>J21*1.255082</f>
        <v>0</v>
      </c>
      <c r="L21">
        <f>C21+D21+E21+F21+G21+I21+K21</f>
        <v>94.791666666666671</v>
      </c>
    </row>
    <row r="22" spans="1:14" x14ac:dyDescent="0.3">
      <c r="A22">
        <v>230950</v>
      </c>
      <c r="B22" t="s">
        <v>164</v>
      </c>
      <c r="C22">
        <v>20</v>
      </c>
      <c r="D22">
        <v>24</v>
      </c>
      <c r="E22">
        <v>20.625</v>
      </c>
      <c r="F22">
        <v>5</v>
      </c>
      <c r="G22">
        <v>0</v>
      </c>
      <c r="H22">
        <v>17.5</v>
      </c>
      <c r="I22">
        <v>25</v>
      </c>
      <c r="J22">
        <v>0</v>
      </c>
      <c r="K22">
        <f>J22*1.255082</f>
        <v>0</v>
      </c>
      <c r="L22">
        <f>C22+D22+E22+F22+G22+I22+K22</f>
        <v>94.625</v>
      </c>
    </row>
    <row r="23" spans="1:14" x14ac:dyDescent="0.3">
      <c r="A23">
        <v>230589</v>
      </c>
      <c r="B23" t="s">
        <v>111</v>
      </c>
      <c r="C23">
        <v>20</v>
      </c>
      <c r="D23">
        <v>24.375</v>
      </c>
      <c r="E23">
        <v>22.666666666666668</v>
      </c>
      <c r="F23">
        <v>3.5</v>
      </c>
      <c r="G23">
        <v>24</v>
      </c>
      <c r="H23">
        <v>0</v>
      </c>
      <c r="I23">
        <f>H23*1.594388</f>
        <v>0</v>
      </c>
      <c r="J23">
        <v>0</v>
      </c>
      <c r="K23">
        <f>J23*1.255082</f>
        <v>0</v>
      </c>
      <c r="L23">
        <f>C23+D23+E23+F23+G23+I23+K23</f>
        <v>94.541666666666671</v>
      </c>
    </row>
    <row r="24" spans="1:14" x14ac:dyDescent="0.3">
      <c r="A24">
        <v>230133</v>
      </c>
      <c r="B24" t="s">
        <v>39</v>
      </c>
      <c r="C24">
        <v>18.77</v>
      </c>
      <c r="D24">
        <v>24.625</v>
      </c>
      <c r="E24">
        <v>21.083333333333332</v>
      </c>
      <c r="F24">
        <v>5</v>
      </c>
      <c r="G24">
        <v>25</v>
      </c>
      <c r="H24">
        <v>0</v>
      </c>
      <c r="I24">
        <f>H24*1.594388</f>
        <v>0</v>
      </c>
      <c r="J24">
        <v>0</v>
      </c>
      <c r="K24">
        <f>J24*1.255082</f>
        <v>0</v>
      </c>
      <c r="L24">
        <f>C24+D24+E24+F24+G24+I24+K24</f>
        <v>94.478333333333325</v>
      </c>
    </row>
    <row r="25" spans="1:14" x14ac:dyDescent="0.3">
      <c r="A25">
        <v>231180</v>
      </c>
      <c r="B25" t="s">
        <v>205</v>
      </c>
      <c r="C25">
        <v>20</v>
      </c>
      <c r="D25">
        <v>24</v>
      </c>
      <c r="E25">
        <v>20.916666666666668</v>
      </c>
      <c r="F25">
        <v>4.5</v>
      </c>
      <c r="G25">
        <v>25</v>
      </c>
      <c r="H25">
        <v>0</v>
      </c>
      <c r="I25">
        <f>H25*1.594388</f>
        <v>0</v>
      </c>
      <c r="J25">
        <v>0</v>
      </c>
      <c r="K25">
        <f>J25*1.255082</f>
        <v>0</v>
      </c>
      <c r="L25">
        <f>C25+D25+E25+F25+G25+I25+K25</f>
        <v>94.416666666666671</v>
      </c>
    </row>
    <row r="26" spans="1:14" x14ac:dyDescent="0.3">
      <c r="A26">
        <v>230574</v>
      </c>
      <c r="B26" t="s">
        <v>108</v>
      </c>
      <c r="C26">
        <v>19.93</v>
      </c>
      <c r="D26">
        <v>23.875</v>
      </c>
      <c r="E26">
        <v>20.583333333333332</v>
      </c>
      <c r="F26">
        <v>5</v>
      </c>
      <c r="G26">
        <v>0</v>
      </c>
      <c r="H26">
        <v>0</v>
      </c>
      <c r="I26">
        <f>H26*1.594388</f>
        <v>0</v>
      </c>
      <c r="J26">
        <v>21.5</v>
      </c>
      <c r="K26">
        <v>25</v>
      </c>
      <c r="L26">
        <f>C26+D26+E26+F26+G26+I26+K26</f>
        <v>94.388333333333335</v>
      </c>
    </row>
    <row r="27" spans="1:14" x14ac:dyDescent="0.3">
      <c r="A27">
        <v>230834</v>
      </c>
      <c r="B27" t="s">
        <v>147</v>
      </c>
      <c r="C27">
        <v>20</v>
      </c>
      <c r="D27">
        <v>23.125</v>
      </c>
      <c r="E27">
        <v>22.708333333333332</v>
      </c>
      <c r="F27">
        <v>3.5</v>
      </c>
      <c r="G27">
        <v>25</v>
      </c>
      <c r="H27">
        <v>0</v>
      </c>
      <c r="I27">
        <f>H27*1.594388</f>
        <v>0</v>
      </c>
      <c r="J27">
        <v>0</v>
      </c>
      <c r="K27">
        <f>J27*1.255082</f>
        <v>0</v>
      </c>
      <c r="L27">
        <f>C27+D27+E27+F27+G27+I27+K27</f>
        <v>94.333333333333329</v>
      </c>
    </row>
    <row r="28" spans="1:14" x14ac:dyDescent="0.3">
      <c r="A28">
        <v>230297</v>
      </c>
      <c r="B28" t="s">
        <v>62</v>
      </c>
      <c r="C28">
        <v>20</v>
      </c>
      <c r="D28">
        <v>24.25</v>
      </c>
      <c r="E28">
        <v>21.875</v>
      </c>
      <c r="F28">
        <v>5</v>
      </c>
      <c r="G28">
        <v>23</v>
      </c>
      <c r="H28">
        <v>0</v>
      </c>
      <c r="I28">
        <f>H28*1.594388</f>
        <v>0</v>
      </c>
      <c r="J28">
        <v>0</v>
      </c>
      <c r="K28">
        <f>J28*1.255082</f>
        <v>0</v>
      </c>
      <c r="L28">
        <f>C28+D28+E28+F28+G28+I28+K28</f>
        <v>94.125</v>
      </c>
    </row>
    <row r="29" spans="1:14" x14ac:dyDescent="0.3">
      <c r="A29">
        <v>230855</v>
      </c>
      <c r="B29" t="s">
        <v>150</v>
      </c>
      <c r="C29">
        <v>20</v>
      </c>
      <c r="D29">
        <v>24.125</v>
      </c>
      <c r="E29">
        <v>20</v>
      </c>
      <c r="F29">
        <v>5</v>
      </c>
      <c r="G29">
        <v>0</v>
      </c>
      <c r="H29">
        <v>0</v>
      </c>
      <c r="I29">
        <f>H29*1.594388</f>
        <v>0</v>
      </c>
      <c r="J29">
        <v>22.5</v>
      </c>
      <c r="K29">
        <v>25</v>
      </c>
      <c r="L29">
        <f>C29+D29+E29+F29+G29+I29+K29</f>
        <v>94.125</v>
      </c>
    </row>
    <row r="30" spans="1:14" x14ac:dyDescent="0.3">
      <c r="A30">
        <v>230010</v>
      </c>
      <c r="B30" t="s">
        <v>18</v>
      </c>
      <c r="C30">
        <v>20</v>
      </c>
      <c r="D30">
        <v>24.375</v>
      </c>
      <c r="E30">
        <v>20.658333333333335</v>
      </c>
      <c r="F30">
        <v>5</v>
      </c>
      <c r="G30">
        <v>24</v>
      </c>
      <c r="H30">
        <v>0</v>
      </c>
      <c r="I30">
        <f>H30*1.594388</f>
        <v>0</v>
      </c>
      <c r="J30">
        <v>0</v>
      </c>
      <c r="K30">
        <f>J30*1.255082</f>
        <v>0</v>
      </c>
      <c r="L30">
        <f>C30+D30+E30+F30+G30+I30+K30</f>
        <v>94.033333333333331</v>
      </c>
    </row>
    <row r="31" spans="1:14" x14ac:dyDescent="0.3">
      <c r="A31">
        <v>230572</v>
      </c>
      <c r="B31" t="s">
        <v>106</v>
      </c>
      <c r="C31">
        <v>20</v>
      </c>
      <c r="D31">
        <v>24.25</v>
      </c>
      <c r="E31">
        <v>20.416666666666668</v>
      </c>
      <c r="F31">
        <v>4.5</v>
      </c>
      <c r="G31">
        <v>0</v>
      </c>
      <c r="H31">
        <v>15.5</v>
      </c>
      <c r="I31">
        <f>H31*1.594388</f>
        <v>24.713013999999998</v>
      </c>
      <c r="J31">
        <v>0</v>
      </c>
      <c r="K31">
        <f>J31*1.255082</f>
        <v>0</v>
      </c>
      <c r="L31">
        <f>C31+D31+E31+F31+G31+I31+K31</f>
        <v>93.879680666666673</v>
      </c>
    </row>
    <row r="32" spans="1:14" x14ac:dyDescent="0.3">
      <c r="A32">
        <v>230785</v>
      </c>
      <c r="B32" t="s">
        <v>140</v>
      </c>
      <c r="C32">
        <v>20</v>
      </c>
      <c r="D32">
        <v>23.75</v>
      </c>
      <c r="E32">
        <v>20.083333333333336</v>
      </c>
      <c r="F32">
        <v>5</v>
      </c>
      <c r="G32">
        <v>25</v>
      </c>
      <c r="H32">
        <v>0</v>
      </c>
      <c r="I32">
        <f>H32*1.594388</f>
        <v>0</v>
      </c>
      <c r="J32">
        <v>0</v>
      </c>
      <c r="K32">
        <f>J32*1.255082</f>
        <v>0</v>
      </c>
      <c r="L32">
        <f>C32+D32+E32+F32+G32+I32+K32</f>
        <v>93.833333333333343</v>
      </c>
    </row>
    <row r="33" spans="1:12" x14ac:dyDescent="0.3">
      <c r="A33">
        <v>230935</v>
      </c>
      <c r="B33" t="s">
        <v>162</v>
      </c>
      <c r="C33">
        <v>18.329999999999998</v>
      </c>
      <c r="D33">
        <v>24.5</v>
      </c>
      <c r="E33">
        <v>20.875</v>
      </c>
      <c r="F33">
        <v>5</v>
      </c>
      <c r="G33">
        <v>0</v>
      </c>
      <c r="H33">
        <v>18.5</v>
      </c>
      <c r="I33">
        <v>25</v>
      </c>
      <c r="J33">
        <v>0</v>
      </c>
      <c r="K33">
        <f>J33*1.255082</f>
        <v>0</v>
      </c>
      <c r="L33">
        <f>C33+D33+E33+F33+G33+I33+K33</f>
        <v>93.704999999999998</v>
      </c>
    </row>
    <row r="34" spans="1:12" x14ac:dyDescent="0.3">
      <c r="A34">
        <v>230854</v>
      </c>
      <c r="B34" t="s">
        <v>149</v>
      </c>
      <c r="C34">
        <v>17.899999999999999</v>
      </c>
      <c r="D34">
        <v>24.625</v>
      </c>
      <c r="E34">
        <v>21.666666666666668</v>
      </c>
      <c r="F34">
        <v>4.5</v>
      </c>
      <c r="G34">
        <v>0</v>
      </c>
      <c r="H34">
        <v>0</v>
      </c>
      <c r="I34">
        <f>H34*1.594388</f>
        <v>0</v>
      </c>
      <c r="J34">
        <v>22.5</v>
      </c>
      <c r="K34">
        <v>25</v>
      </c>
      <c r="L34">
        <f>C34+D34+E34+F34+G34+I34+K34</f>
        <v>93.691666666666663</v>
      </c>
    </row>
    <row r="35" spans="1:12" x14ac:dyDescent="0.3">
      <c r="A35">
        <v>230405</v>
      </c>
      <c r="B35" t="s">
        <v>73</v>
      </c>
      <c r="C35">
        <v>20</v>
      </c>
      <c r="D35">
        <v>24.875</v>
      </c>
      <c r="E35">
        <v>22.333333333333332</v>
      </c>
      <c r="F35">
        <v>4.5</v>
      </c>
      <c r="G35">
        <v>0</v>
      </c>
      <c r="H35">
        <v>0</v>
      </c>
      <c r="I35">
        <f>H35*1.594388</f>
        <v>0</v>
      </c>
      <c r="J35">
        <v>17.5</v>
      </c>
      <c r="K35">
        <f>J35*1.255082</f>
        <v>21.963934999999999</v>
      </c>
      <c r="L35">
        <f>C35+D35+E35+F35+G35+I35+K35</f>
        <v>93.672268333333335</v>
      </c>
    </row>
    <row r="36" spans="1:12" x14ac:dyDescent="0.3">
      <c r="A36">
        <v>230359</v>
      </c>
      <c r="B36" t="s">
        <v>69</v>
      </c>
      <c r="C36">
        <v>20</v>
      </c>
      <c r="D36">
        <v>24.875</v>
      </c>
      <c r="E36">
        <v>21.25</v>
      </c>
      <c r="F36">
        <v>2.5</v>
      </c>
      <c r="G36">
        <v>0</v>
      </c>
      <c r="H36">
        <v>19</v>
      </c>
      <c r="I36">
        <v>25</v>
      </c>
      <c r="J36">
        <v>0</v>
      </c>
      <c r="K36">
        <f>J36*1.255082</f>
        <v>0</v>
      </c>
      <c r="L36">
        <f>C36+D36+E36+F36+G36+I36+K36</f>
        <v>93.625</v>
      </c>
    </row>
    <row r="37" spans="1:12" x14ac:dyDescent="0.3">
      <c r="A37">
        <v>231139</v>
      </c>
      <c r="B37" t="s">
        <v>200</v>
      </c>
      <c r="C37">
        <v>20</v>
      </c>
      <c r="D37">
        <v>24.125</v>
      </c>
      <c r="E37">
        <v>21.833333333333332</v>
      </c>
      <c r="F37">
        <v>2.5</v>
      </c>
      <c r="G37">
        <v>0</v>
      </c>
      <c r="H37">
        <v>17.5</v>
      </c>
      <c r="I37">
        <v>25</v>
      </c>
      <c r="J37">
        <v>0</v>
      </c>
      <c r="K37">
        <f>J37*1.255082</f>
        <v>0</v>
      </c>
      <c r="L37">
        <f>C37+D37+E37+F37+G37+I37+K37</f>
        <v>93.458333333333329</v>
      </c>
    </row>
    <row r="38" spans="1:12" x14ac:dyDescent="0.3">
      <c r="A38">
        <v>230181</v>
      </c>
      <c r="B38" t="s">
        <v>46</v>
      </c>
      <c r="C38">
        <v>20</v>
      </c>
      <c r="D38">
        <v>24.625</v>
      </c>
      <c r="E38">
        <v>21.666666666666668</v>
      </c>
      <c r="F38">
        <v>3.5</v>
      </c>
      <c r="G38">
        <v>0</v>
      </c>
      <c r="H38">
        <v>14.5</v>
      </c>
      <c r="I38">
        <f>H38*1.594388</f>
        <v>23.118625999999999</v>
      </c>
      <c r="J38">
        <v>0</v>
      </c>
      <c r="K38">
        <f>J38*1.255082</f>
        <v>0</v>
      </c>
      <c r="L38">
        <f>C38+D38+E38+F38+G38+I38+K38</f>
        <v>92.910292666666663</v>
      </c>
    </row>
    <row r="39" spans="1:12" x14ac:dyDescent="0.3">
      <c r="A39">
        <v>231092</v>
      </c>
      <c r="B39" t="s">
        <v>189</v>
      </c>
      <c r="C39">
        <v>20</v>
      </c>
      <c r="D39">
        <v>24.125</v>
      </c>
      <c r="E39">
        <v>22.833333333333332</v>
      </c>
      <c r="F39">
        <v>5</v>
      </c>
      <c r="G39">
        <v>0</v>
      </c>
      <c r="H39">
        <v>0</v>
      </c>
      <c r="I39">
        <f>H39*1.594388</f>
        <v>0</v>
      </c>
      <c r="J39">
        <v>16.5</v>
      </c>
      <c r="K39">
        <f>J39*1.255082</f>
        <v>20.708853000000001</v>
      </c>
      <c r="L39">
        <f>C39+D39+E39+F39+G39+I39+K39</f>
        <v>92.667186333333333</v>
      </c>
    </row>
    <row r="40" spans="1:12" x14ac:dyDescent="0.3">
      <c r="A40">
        <v>230442</v>
      </c>
      <c r="B40" t="s">
        <v>78</v>
      </c>
      <c r="C40">
        <v>20</v>
      </c>
      <c r="D40">
        <v>24.75</v>
      </c>
      <c r="E40">
        <v>19.916666666666668</v>
      </c>
      <c r="F40">
        <v>3</v>
      </c>
      <c r="G40">
        <v>0</v>
      </c>
      <c r="H40">
        <v>0</v>
      </c>
      <c r="I40">
        <f>H40*1.594388</f>
        <v>0</v>
      </c>
      <c r="J40">
        <v>20</v>
      </c>
      <c r="K40">
        <v>25</v>
      </c>
      <c r="L40">
        <f>C40+D40+E40+F40+G40+I40+K40</f>
        <v>92.666666666666671</v>
      </c>
    </row>
    <row r="41" spans="1:12" x14ac:dyDescent="0.3">
      <c r="A41">
        <v>230101</v>
      </c>
      <c r="B41" t="s">
        <v>31</v>
      </c>
      <c r="C41">
        <v>17.5</v>
      </c>
      <c r="D41">
        <v>24</v>
      </c>
      <c r="E41">
        <v>20.916666666666668</v>
      </c>
      <c r="F41">
        <v>5</v>
      </c>
      <c r="G41">
        <v>0</v>
      </c>
      <c r="H41">
        <v>0</v>
      </c>
      <c r="I41">
        <f>H41*1.594388</f>
        <v>0</v>
      </c>
      <c r="J41">
        <v>20.5</v>
      </c>
      <c r="K41">
        <v>25</v>
      </c>
      <c r="L41">
        <f>C41+D41+E41+F41+G41+I41+K41</f>
        <v>92.416666666666671</v>
      </c>
    </row>
    <row r="42" spans="1:12" x14ac:dyDescent="0.3">
      <c r="A42">
        <v>230452</v>
      </c>
      <c r="B42" t="s">
        <v>80</v>
      </c>
      <c r="C42">
        <v>20</v>
      </c>
      <c r="D42">
        <v>24.625</v>
      </c>
      <c r="E42">
        <v>17.75</v>
      </c>
      <c r="F42">
        <v>5</v>
      </c>
      <c r="G42">
        <v>0</v>
      </c>
      <c r="H42">
        <v>0</v>
      </c>
      <c r="I42">
        <f>H42*1.594388</f>
        <v>0</v>
      </c>
      <c r="J42">
        <v>24</v>
      </c>
      <c r="K42">
        <v>25</v>
      </c>
      <c r="L42">
        <f>C42+D42+E42+F42+G42+I42+K42</f>
        <v>92.375</v>
      </c>
    </row>
    <row r="43" spans="1:12" x14ac:dyDescent="0.3">
      <c r="A43">
        <v>231014</v>
      </c>
      <c r="B43" t="s">
        <v>176</v>
      </c>
      <c r="C43">
        <v>19.47</v>
      </c>
      <c r="D43">
        <v>24.625</v>
      </c>
      <c r="E43">
        <v>20.25</v>
      </c>
      <c r="F43">
        <v>3</v>
      </c>
      <c r="G43">
        <v>0</v>
      </c>
      <c r="H43">
        <v>0</v>
      </c>
      <c r="I43">
        <f>H43*1.594388</f>
        <v>0</v>
      </c>
      <c r="J43">
        <v>22.5</v>
      </c>
      <c r="K43">
        <v>25</v>
      </c>
      <c r="L43">
        <f>C43+D43+E43+F43+G43+I43+K43</f>
        <v>92.344999999999999</v>
      </c>
    </row>
    <row r="44" spans="1:12" x14ac:dyDescent="0.3">
      <c r="A44">
        <v>230947</v>
      </c>
      <c r="B44" t="s">
        <v>163</v>
      </c>
      <c r="C44">
        <v>19.27</v>
      </c>
      <c r="D44">
        <v>23.375</v>
      </c>
      <c r="E44">
        <v>20.666666666666668</v>
      </c>
      <c r="F44">
        <v>4</v>
      </c>
      <c r="G44">
        <v>25</v>
      </c>
      <c r="H44">
        <v>0</v>
      </c>
      <c r="I44">
        <f>H44*1.594388</f>
        <v>0</v>
      </c>
      <c r="J44">
        <v>0</v>
      </c>
      <c r="K44">
        <f>J44*1.255082</f>
        <v>0</v>
      </c>
      <c r="L44">
        <f>C44+D44+E44+F44+G44+I44+K44</f>
        <v>92.311666666666667</v>
      </c>
    </row>
    <row r="45" spans="1:12" x14ac:dyDescent="0.3">
      <c r="A45">
        <v>230115</v>
      </c>
      <c r="B45" t="s">
        <v>36</v>
      </c>
      <c r="C45">
        <v>18.63</v>
      </c>
      <c r="D45">
        <v>24.125</v>
      </c>
      <c r="E45">
        <v>19.5</v>
      </c>
      <c r="F45">
        <v>5</v>
      </c>
      <c r="G45">
        <v>0</v>
      </c>
      <c r="H45">
        <v>16</v>
      </c>
      <c r="I45">
        <v>25</v>
      </c>
      <c r="J45">
        <v>0</v>
      </c>
      <c r="K45">
        <f>J45*1.255082</f>
        <v>0</v>
      </c>
      <c r="L45">
        <f>C45+D45+E45+F45+G45+I45+K45</f>
        <v>92.254999999999995</v>
      </c>
    </row>
    <row r="46" spans="1:12" x14ac:dyDescent="0.3">
      <c r="A46">
        <v>230001</v>
      </c>
      <c r="B46" t="s">
        <v>16</v>
      </c>
      <c r="C46">
        <v>20</v>
      </c>
      <c r="D46">
        <v>24.875</v>
      </c>
      <c r="E46">
        <v>20.625</v>
      </c>
      <c r="F46">
        <v>1.5</v>
      </c>
      <c r="G46">
        <v>0</v>
      </c>
      <c r="H46">
        <v>0</v>
      </c>
      <c r="I46">
        <f>H46*1.594388</f>
        <v>0</v>
      </c>
      <c r="J46">
        <v>24</v>
      </c>
      <c r="K46">
        <v>25</v>
      </c>
      <c r="L46">
        <f>C46+D46+E46+F46+G46+I46+K46</f>
        <v>92</v>
      </c>
    </row>
    <row r="47" spans="1:12" x14ac:dyDescent="0.3">
      <c r="A47">
        <v>230105</v>
      </c>
      <c r="B47" t="s">
        <v>33</v>
      </c>
      <c r="C47">
        <v>19.27</v>
      </c>
      <c r="D47">
        <v>24.625</v>
      </c>
      <c r="E47">
        <v>21.833333333333332</v>
      </c>
      <c r="F47">
        <v>3</v>
      </c>
      <c r="G47">
        <v>0</v>
      </c>
      <c r="H47">
        <v>14.5</v>
      </c>
      <c r="I47">
        <f>H47*1.594388</f>
        <v>23.118625999999999</v>
      </c>
      <c r="J47">
        <v>0</v>
      </c>
      <c r="K47">
        <f>J47*1.255082</f>
        <v>0</v>
      </c>
      <c r="L47">
        <f>C47+D47+E47+F47+G47+I47+K47</f>
        <v>91.846959333333331</v>
      </c>
    </row>
    <row r="48" spans="1:12" x14ac:dyDescent="0.3">
      <c r="A48">
        <v>230551</v>
      </c>
      <c r="B48" t="s">
        <v>101</v>
      </c>
      <c r="C48">
        <v>19.73</v>
      </c>
      <c r="D48">
        <v>23.625</v>
      </c>
      <c r="E48">
        <v>22.333333333333332</v>
      </c>
      <c r="F48">
        <v>3.5</v>
      </c>
      <c r="G48">
        <v>0</v>
      </c>
      <c r="H48">
        <v>0</v>
      </c>
      <c r="I48">
        <f>H48*1.594388</f>
        <v>0</v>
      </c>
      <c r="J48">
        <v>18</v>
      </c>
      <c r="K48">
        <f>J48*1.255082</f>
        <v>22.591476</v>
      </c>
      <c r="L48">
        <f>C48+D48+E48+F48+G48+I48+K48</f>
        <v>91.779809333333333</v>
      </c>
    </row>
    <row r="49" spans="1:12" x14ac:dyDescent="0.3">
      <c r="A49">
        <v>231195</v>
      </c>
      <c r="B49" t="s">
        <v>206</v>
      </c>
      <c r="C49">
        <v>20</v>
      </c>
      <c r="D49">
        <v>24</v>
      </c>
      <c r="E49">
        <v>19.75</v>
      </c>
      <c r="F49">
        <v>3</v>
      </c>
      <c r="G49">
        <v>0</v>
      </c>
      <c r="H49">
        <v>16.5</v>
      </c>
      <c r="I49">
        <v>25</v>
      </c>
      <c r="J49">
        <v>0</v>
      </c>
      <c r="K49">
        <f>J49*1.255082</f>
        <v>0</v>
      </c>
      <c r="L49">
        <f>C49+D49+E49+F49+G49+I49+K49</f>
        <v>91.75</v>
      </c>
    </row>
    <row r="50" spans="1:12" x14ac:dyDescent="0.3">
      <c r="A50">
        <v>230234</v>
      </c>
      <c r="B50" t="s">
        <v>54</v>
      </c>
      <c r="C50">
        <v>19</v>
      </c>
      <c r="D50">
        <v>23.75</v>
      </c>
      <c r="E50">
        <v>18.916666666666664</v>
      </c>
      <c r="F50">
        <v>5</v>
      </c>
      <c r="G50">
        <v>0</v>
      </c>
      <c r="H50">
        <v>17.5</v>
      </c>
      <c r="I50">
        <v>25</v>
      </c>
      <c r="J50">
        <v>0</v>
      </c>
      <c r="K50">
        <f>J50*1.255082</f>
        <v>0</v>
      </c>
      <c r="L50">
        <f>C50+D50+E50+F50+G50+I50+K50</f>
        <v>91.666666666666657</v>
      </c>
    </row>
    <row r="51" spans="1:12" x14ac:dyDescent="0.3">
      <c r="A51">
        <v>230315</v>
      </c>
      <c r="B51" t="s">
        <v>64</v>
      </c>
      <c r="C51">
        <v>18.2</v>
      </c>
      <c r="D51">
        <v>23.375</v>
      </c>
      <c r="E51">
        <v>21.583333333333332</v>
      </c>
      <c r="F51">
        <v>5</v>
      </c>
      <c r="G51">
        <v>0</v>
      </c>
      <c r="H51">
        <v>0</v>
      </c>
      <c r="I51">
        <f>H51*1.594388</f>
        <v>0</v>
      </c>
      <c r="J51">
        <v>18.5</v>
      </c>
      <c r="K51">
        <f>J51*1.255082</f>
        <v>23.219017000000001</v>
      </c>
      <c r="L51">
        <f>C51+D51+E51+F51+G51+I51+K51</f>
        <v>91.377350333333339</v>
      </c>
    </row>
    <row r="52" spans="1:12" x14ac:dyDescent="0.3">
      <c r="A52">
        <v>230925</v>
      </c>
      <c r="B52" t="s">
        <v>159</v>
      </c>
      <c r="C52">
        <v>20</v>
      </c>
      <c r="D52">
        <v>24.5</v>
      </c>
      <c r="E52">
        <v>20.875</v>
      </c>
      <c r="F52">
        <v>5</v>
      </c>
      <c r="G52">
        <v>21</v>
      </c>
      <c r="H52">
        <v>0</v>
      </c>
      <c r="I52">
        <f>H52*1.594388</f>
        <v>0</v>
      </c>
      <c r="J52">
        <v>0</v>
      </c>
      <c r="K52">
        <f>J52*1.255082</f>
        <v>0</v>
      </c>
      <c r="L52">
        <f>C52+D52+E52+F52+G52+I52+K52</f>
        <v>91.375</v>
      </c>
    </row>
    <row r="53" spans="1:12" x14ac:dyDescent="0.3">
      <c r="A53">
        <v>230571</v>
      </c>
      <c r="B53" t="s">
        <v>105</v>
      </c>
      <c r="C53">
        <v>18.170000000000002</v>
      </c>
      <c r="D53">
        <v>23.5</v>
      </c>
      <c r="E53">
        <v>21.583333333333332</v>
      </c>
      <c r="F53">
        <v>5</v>
      </c>
      <c r="G53">
        <v>0</v>
      </c>
      <c r="H53">
        <v>14.5</v>
      </c>
      <c r="I53">
        <f>H53*1.594388</f>
        <v>23.118625999999999</v>
      </c>
      <c r="J53">
        <v>0</v>
      </c>
      <c r="K53">
        <f>J53*1.255082</f>
        <v>0</v>
      </c>
      <c r="L53">
        <f>C53+D53+E53+F53+G53+I53+K53</f>
        <v>91.371959333333336</v>
      </c>
    </row>
    <row r="54" spans="1:12" x14ac:dyDescent="0.3">
      <c r="A54">
        <v>230451</v>
      </c>
      <c r="B54" t="s">
        <v>80</v>
      </c>
      <c r="C54">
        <v>20</v>
      </c>
      <c r="D54">
        <v>24.5</v>
      </c>
      <c r="E54">
        <v>18.666666666666668</v>
      </c>
      <c r="F54">
        <v>3</v>
      </c>
      <c r="G54">
        <v>0</v>
      </c>
      <c r="H54">
        <v>0</v>
      </c>
      <c r="I54">
        <f>H54*1.594388</f>
        <v>0</v>
      </c>
      <c r="J54">
        <v>23</v>
      </c>
      <c r="K54">
        <v>25</v>
      </c>
      <c r="L54">
        <f>C54+D54+E54+F54+G54+I54+K54</f>
        <v>91.166666666666671</v>
      </c>
    </row>
    <row r="55" spans="1:12" x14ac:dyDescent="0.3">
      <c r="A55">
        <v>230616</v>
      </c>
      <c r="B55" t="s">
        <v>114</v>
      </c>
      <c r="C55">
        <v>20</v>
      </c>
      <c r="D55">
        <v>24.375</v>
      </c>
      <c r="E55">
        <v>23.25</v>
      </c>
      <c r="F55">
        <v>5</v>
      </c>
      <c r="G55">
        <v>0</v>
      </c>
      <c r="H55">
        <v>0</v>
      </c>
      <c r="I55">
        <f>H55*1.594388</f>
        <v>0</v>
      </c>
      <c r="J55">
        <v>14.5</v>
      </c>
      <c r="K55">
        <f>J55*1.255082</f>
        <v>18.198689000000002</v>
      </c>
      <c r="L55">
        <f>C55+D55+E55+F55+G55+I55+K55</f>
        <v>90.823689000000002</v>
      </c>
    </row>
    <row r="56" spans="1:12" x14ac:dyDescent="0.3">
      <c r="A56">
        <v>231045</v>
      </c>
      <c r="B56" t="s">
        <v>181</v>
      </c>
      <c r="C56">
        <v>20</v>
      </c>
      <c r="D56">
        <v>24.125</v>
      </c>
      <c r="E56">
        <v>22.458333333333332</v>
      </c>
      <c r="F56">
        <v>5</v>
      </c>
      <c r="G56">
        <v>0</v>
      </c>
      <c r="H56">
        <v>12</v>
      </c>
      <c r="I56">
        <f>H56*1.594388</f>
        <v>19.132655999999997</v>
      </c>
      <c r="J56">
        <v>0</v>
      </c>
      <c r="K56">
        <f>J56*1.255082</f>
        <v>0</v>
      </c>
      <c r="L56">
        <f>C56+D56+E56+F56+G56+I56+K56</f>
        <v>90.715989333333326</v>
      </c>
    </row>
    <row r="57" spans="1:12" x14ac:dyDescent="0.3">
      <c r="A57">
        <v>230625</v>
      </c>
      <c r="B57" t="s">
        <v>116</v>
      </c>
      <c r="C57">
        <v>18</v>
      </c>
      <c r="D57">
        <v>23.625</v>
      </c>
      <c r="E57">
        <v>20.5</v>
      </c>
      <c r="F57">
        <v>3.5</v>
      </c>
      <c r="G57">
        <v>0</v>
      </c>
      <c r="H57">
        <v>18</v>
      </c>
      <c r="I57">
        <v>25</v>
      </c>
      <c r="J57">
        <v>0</v>
      </c>
      <c r="K57">
        <f>J57*1.255082</f>
        <v>0</v>
      </c>
      <c r="L57">
        <f>C57+D57+E57+F57+G57+I57+K57</f>
        <v>90.625</v>
      </c>
    </row>
    <row r="58" spans="1:12" x14ac:dyDescent="0.3">
      <c r="A58">
        <v>230894</v>
      </c>
      <c r="B58" t="s">
        <v>157</v>
      </c>
      <c r="C58">
        <v>19.77</v>
      </c>
      <c r="D58">
        <v>23.875</v>
      </c>
      <c r="E58">
        <v>17.458333333333336</v>
      </c>
      <c r="F58">
        <v>4.5</v>
      </c>
      <c r="G58">
        <v>25</v>
      </c>
      <c r="H58">
        <v>0</v>
      </c>
      <c r="I58">
        <f>H58*1.594388</f>
        <v>0</v>
      </c>
      <c r="J58">
        <v>0</v>
      </c>
      <c r="K58">
        <f>J58*1.255082</f>
        <v>0</v>
      </c>
      <c r="L58">
        <f>C58+D58+E58+F58+G58+I58+K58</f>
        <v>90.603333333333325</v>
      </c>
    </row>
    <row r="59" spans="1:12" x14ac:dyDescent="0.3">
      <c r="A59">
        <v>230086</v>
      </c>
      <c r="B59" t="s">
        <v>27</v>
      </c>
      <c r="C59">
        <v>20</v>
      </c>
      <c r="D59">
        <v>24.25</v>
      </c>
      <c r="E59">
        <v>21.166666666666668</v>
      </c>
      <c r="F59">
        <v>3.5</v>
      </c>
      <c r="G59">
        <v>0</v>
      </c>
      <c r="H59">
        <v>0</v>
      </c>
      <c r="I59">
        <f>H59*1.594388</f>
        <v>0</v>
      </c>
      <c r="J59">
        <v>17</v>
      </c>
      <c r="K59">
        <f>J59*1.255082</f>
        <v>21.336394000000002</v>
      </c>
      <c r="L59">
        <f>C59+D59+E59+F59+G59+I59+K59</f>
        <v>90.25306066666667</v>
      </c>
    </row>
    <row r="60" spans="1:12" x14ac:dyDescent="0.3">
      <c r="A60">
        <v>231028</v>
      </c>
      <c r="B60" t="s">
        <v>180</v>
      </c>
      <c r="C60">
        <v>20</v>
      </c>
      <c r="D60">
        <v>24.125</v>
      </c>
      <c r="E60">
        <v>19.541666666666668</v>
      </c>
      <c r="F60">
        <v>1.5</v>
      </c>
      <c r="G60">
        <v>25</v>
      </c>
      <c r="H60">
        <v>0</v>
      </c>
      <c r="I60">
        <f>H60*1.594388</f>
        <v>0</v>
      </c>
      <c r="J60">
        <v>0</v>
      </c>
      <c r="K60">
        <f>J60*1.255082</f>
        <v>0</v>
      </c>
      <c r="L60">
        <f>C60+D60+E60+F60+G60+I60+K60</f>
        <v>90.166666666666671</v>
      </c>
    </row>
    <row r="61" spans="1:12" x14ac:dyDescent="0.3">
      <c r="A61">
        <v>230478</v>
      </c>
      <c r="B61" t="s">
        <v>85</v>
      </c>
      <c r="C61">
        <v>20</v>
      </c>
      <c r="D61">
        <v>24.25</v>
      </c>
      <c r="E61">
        <v>18.916666666666664</v>
      </c>
      <c r="F61">
        <v>5</v>
      </c>
      <c r="G61">
        <v>22</v>
      </c>
      <c r="H61">
        <v>0</v>
      </c>
      <c r="I61">
        <f>H61*1.594388</f>
        <v>0</v>
      </c>
      <c r="J61">
        <v>0</v>
      </c>
      <c r="K61">
        <f>J61*1.255082</f>
        <v>0</v>
      </c>
      <c r="L61">
        <f>C61+D61+E61+F61+G61+I61+K61</f>
        <v>90.166666666666657</v>
      </c>
    </row>
    <row r="62" spans="1:12" x14ac:dyDescent="0.3">
      <c r="A62">
        <v>230332</v>
      </c>
      <c r="B62" t="s">
        <v>66</v>
      </c>
      <c r="C62">
        <v>20</v>
      </c>
      <c r="D62">
        <v>24</v>
      </c>
      <c r="E62">
        <v>19.383333333333333</v>
      </c>
      <c r="F62">
        <v>5</v>
      </c>
      <c r="G62">
        <v>0</v>
      </c>
      <c r="H62">
        <v>13.5</v>
      </c>
      <c r="I62">
        <f>H62*1.594388</f>
        <v>21.524238</v>
      </c>
      <c r="J62">
        <v>0</v>
      </c>
      <c r="K62">
        <f>J62*1.255082</f>
        <v>0</v>
      </c>
      <c r="L62">
        <f>C62+D62+E62+F62+G62+I62+K62</f>
        <v>89.907571333333323</v>
      </c>
    </row>
    <row r="63" spans="1:12" x14ac:dyDescent="0.3">
      <c r="A63">
        <v>230879</v>
      </c>
      <c r="B63" t="s">
        <v>155</v>
      </c>
      <c r="C63">
        <v>19.13</v>
      </c>
      <c r="D63">
        <v>24.25</v>
      </c>
      <c r="E63">
        <v>21.333333333333332</v>
      </c>
      <c r="F63">
        <v>0</v>
      </c>
      <c r="G63">
        <v>0</v>
      </c>
      <c r="H63">
        <v>0</v>
      </c>
      <c r="I63">
        <f>H63*1.594388</f>
        <v>0</v>
      </c>
      <c r="J63">
        <v>20.5</v>
      </c>
      <c r="K63">
        <v>25</v>
      </c>
      <c r="L63">
        <f>C63+D63+E63+F63+G63+I63+K63</f>
        <v>89.713333333333324</v>
      </c>
    </row>
    <row r="64" spans="1:12" x14ac:dyDescent="0.3">
      <c r="A64">
        <v>231131</v>
      </c>
      <c r="B64" t="s">
        <v>199</v>
      </c>
      <c r="C64">
        <v>19.37</v>
      </c>
      <c r="D64">
        <v>23.625</v>
      </c>
      <c r="E64">
        <v>18.333333333333336</v>
      </c>
      <c r="F64">
        <v>4.5</v>
      </c>
      <c r="G64">
        <v>0</v>
      </c>
      <c r="H64">
        <v>0</v>
      </c>
      <c r="I64">
        <f>H64*1.594388</f>
        <v>0</v>
      </c>
      <c r="J64">
        <v>19</v>
      </c>
      <c r="K64">
        <f>J64*1.255082</f>
        <v>23.846558000000002</v>
      </c>
      <c r="L64">
        <f>C64+D64+E64+F64+G64+I64+K64</f>
        <v>89.674891333333349</v>
      </c>
    </row>
    <row r="65" spans="1:12" x14ac:dyDescent="0.3">
      <c r="A65">
        <v>230967</v>
      </c>
      <c r="B65" t="s">
        <v>167</v>
      </c>
      <c r="C65">
        <v>20</v>
      </c>
      <c r="D65">
        <v>24.25</v>
      </c>
      <c r="E65">
        <v>16.666666666666664</v>
      </c>
      <c r="F65">
        <v>3.5</v>
      </c>
      <c r="G65">
        <v>0</v>
      </c>
      <c r="H65">
        <v>0</v>
      </c>
      <c r="I65">
        <f>H65*1.594388</f>
        <v>0</v>
      </c>
      <c r="J65">
        <v>22.5</v>
      </c>
      <c r="K65">
        <v>25</v>
      </c>
      <c r="L65">
        <f>C65+D65+E65+F65+G65+I65+K65</f>
        <v>89.416666666666657</v>
      </c>
    </row>
    <row r="66" spans="1:12" x14ac:dyDescent="0.3">
      <c r="A66">
        <v>230565</v>
      </c>
      <c r="B66" t="s">
        <v>104</v>
      </c>
      <c r="C66">
        <v>20</v>
      </c>
      <c r="D66">
        <v>24.375</v>
      </c>
      <c r="E66">
        <v>18</v>
      </c>
      <c r="F66">
        <v>2</v>
      </c>
      <c r="G66">
        <v>0</v>
      </c>
      <c r="H66">
        <v>0</v>
      </c>
      <c r="I66">
        <f>H66*1.594388</f>
        <v>0</v>
      </c>
      <c r="J66">
        <v>23</v>
      </c>
      <c r="K66">
        <v>25</v>
      </c>
      <c r="L66">
        <f>C66+D66+E66+F66+G66+I66+K66</f>
        <v>89.375</v>
      </c>
    </row>
    <row r="67" spans="1:12" x14ac:dyDescent="0.3">
      <c r="A67">
        <v>231128</v>
      </c>
      <c r="B67" t="s">
        <v>198</v>
      </c>
      <c r="C67">
        <v>20</v>
      </c>
      <c r="D67">
        <v>24.25</v>
      </c>
      <c r="E67">
        <v>17.041666666666668</v>
      </c>
      <c r="F67">
        <v>3.5</v>
      </c>
      <c r="G67">
        <v>24.5</v>
      </c>
      <c r="H67">
        <v>0</v>
      </c>
      <c r="I67">
        <f>H67*1.594388</f>
        <v>0</v>
      </c>
      <c r="J67">
        <v>0</v>
      </c>
      <c r="K67">
        <f>J67*1.255082</f>
        <v>0</v>
      </c>
      <c r="L67">
        <f>C67+D67+E67+F67+G67+I67+K67</f>
        <v>89.291666666666671</v>
      </c>
    </row>
    <row r="68" spans="1:12" x14ac:dyDescent="0.3">
      <c r="A68">
        <v>230731</v>
      </c>
      <c r="B68" t="s">
        <v>133</v>
      </c>
      <c r="C68">
        <v>20</v>
      </c>
      <c r="D68">
        <v>23.75</v>
      </c>
      <c r="E68">
        <v>18.791666666666664</v>
      </c>
      <c r="F68">
        <v>1.5</v>
      </c>
      <c r="G68">
        <v>0</v>
      </c>
      <c r="H68">
        <v>0</v>
      </c>
      <c r="I68">
        <f>H68*1.594388</f>
        <v>0</v>
      </c>
      <c r="J68">
        <v>22</v>
      </c>
      <c r="K68">
        <v>25</v>
      </c>
      <c r="L68">
        <f>C68+D68+E68+F68+G68+I68+K68</f>
        <v>89.041666666666657</v>
      </c>
    </row>
    <row r="69" spans="1:12" x14ac:dyDescent="0.3">
      <c r="A69">
        <v>230699</v>
      </c>
      <c r="B69" t="s">
        <v>125</v>
      </c>
      <c r="C69">
        <v>19.77</v>
      </c>
      <c r="D69">
        <v>23.875</v>
      </c>
      <c r="E69">
        <v>16</v>
      </c>
      <c r="F69">
        <v>4.5</v>
      </c>
      <c r="G69">
        <v>0</v>
      </c>
      <c r="H69">
        <v>15.5</v>
      </c>
      <c r="I69">
        <f>H69*1.594388</f>
        <v>24.713013999999998</v>
      </c>
      <c r="J69">
        <v>0</v>
      </c>
      <c r="K69">
        <f>J69*1.255082</f>
        <v>0</v>
      </c>
      <c r="L69">
        <f>C69+D69+E69+F69+G69+I69+K69</f>
        <v>88.858013999999997</v>
      </c>
    </row>
    <row r="70" spans="1:12" x14ac:dyDescent="0.3">
      <c r="A70">
        <v>230192</v>
      </c>
      <c r="B70" t="s">
        <v>47</v>
      </c>
      <c r="C70">
        <v>20</v>
      </c>
      <c r="D70">
        <v>23.875</v>
      </c>
      <c r="E70">
        <v>17.833333333333332</v>
      </c>
      <c r="F70">
        <v>3</v>
      </c>
      <c r="G70">
        <v>24</v>
      </c>
      <c r="H70">
        <v>0</v>
      </c>
      <c r="I70">
        <f>H70*1.594388</f>
        <v>0</v>
      </c>
      <c r="J70">
        <v>0</v>
      </c>
      <c r="K70">
        <f>J70*1.255082</f>
        <v>0</v>
      </c>
      <c r="L70">
        <f>C70+D70+E70+F70+G70+I70+K70</f>
        <v>88.708333333333329</v>
      </c>
    </row>
    <row r="71" spans="1:12" x14ac:dyDescent="0.3">
      <c r="A71">
        <v>231121</v>
      </c>
      <c r="B71" t="s">
        <v>196</v>
      </c>
      <c r="C71">
        <v>20</v>
      </c>
      <c r="D71">
        <v>24.375</v>
      </c>
      <c r="E71">
        <v>22.583333333333332</v>
      </c>
      <c r="F71">
        <v>3.5</v>
      </c>
      <c r="G71">
        <v>0</v>
      </c>
      <c r="H71">
        <v>0</v>
      </c>
      <c r="I71">
        <f>H71*1.594388</f>
        <v>0</v>
      </c>
      <c r="J71">
        <v>14.5</v>
      </c>
      <c r="K71">
        <f>J71*1.255082</f>
        <v>18.198689000000002</v>
      </c>
      <c r="L71">
        <f>C71+D71+E71+F71+G71+I71+K71</f>
        <v>88.65702233333333</v>
      </c>
    </row>
    <row r="72" spans="1:12" x14ac:dyDescent="0.3">
      <c r="A72">
        <v>230820</v>
      </c>
      <c r="B72" t="s">
        <v>145</v>
      </c>
      <c r="C72">
        <v>20</v>
      </c>
      <c r="D72">
        <v>23.875</v>
      </c>
      <c r="E72">
        <v>20.166666666666668</v>
      </c>
      <c r="F72">
        <v>3</v>
      </c>
      <c r="G72">
        <v>0</v>
      </c>
      <c r="H72">
        <v>0</v>
      </c>
      <c r="I72">
        <f>H72*1.594388</f>
        <v>0</v>
      </c>
      <c r="J72">
        <v>17</v>
      </c>
      <c r="K72">
        <f>J72*1.255082</f>
        <v>21.336394000000002</v>
      </c>
      <c r="L72">
        <f>C72+D72+E72+F72+G72+I72+K72</f>
        <v>88.37806066666667</v>
      </c>
    </row>
    <row r="73" spans="1:12" x14ac:dyDescent="0.3">
      <c r="A73">
        <v>230863</v>
      </c>
      <c r="B73" t="s">
        <v>151</v>
      </c>
      <c r="C73">
        <v>20</v>
      </c>
      <c r="D73">
        <v>24</v>
      </c>
      <c r="E73">
        <v>17.875</v>
      </c>
      <c r="F73">
        <v>1.5</v>
      </c>
      <c r="G73">
        <v>25</v>
      </c>
      <c r="H73">
        <v>0</v>
      </c>
      <c r="I73">
        <f>H73*1.594388</f>
        <v>0</v>
      </c>
      <c r="J73">
        <v>0</v>
      </c>
      <c r="K73">
        <f>J73*1.255082</f>
        <v>0</v>
      </c>
      <c r="L73">
        <f>C73+D73+E73+F73+G73+I73+K73</f>
        <v>88.375</v>
      </c>
    </row>
    <row r="74" spans="1:12" x14ac:dyDescent="0.3">
      <c r="A74">
        <v>230666</v>
      </c>
      <c r="B74" t="s">
        <v>120</v>
      </c>
      <c r="C74">
        <v>20</v>
      </c>
      <c r="D74">
        <v>24.375</v>
      </c>
      <c r="E74">
        <v>21</v>
      </c>
      <c r="F74">
        <v>1.5</v>
      </c>
      <c r="G74">
        <v>0</v>
      </c>
      <c r="H74">
        <v>0</v>
      </c>
      <c r="I74">
        <f>H74*1.594388</f>
        <v>0</v>
      </c>
      <c r="J74">
        <v>17</v>
      </c>
      <c r="K74">
        <f>J74*1.255082</f>
        <v>21.336394000000002</v>
      </c>
      <c r="L74">
        <f>C74+D74+E74+F74+G74+I74+K74</f>
        <v>88.211393999999999</v>
      </c>
    </row>
    <row r="75" spans="1:12" x14ac:dyDescent="0.3">
      <c r="A75">
        <v>231124</v>
      </c>
      <c r="B75" t="s">
        <v>197</v>
      </c>
      <c r="C75">
        <v>20</v>
      </c>
      <c r="D75">
        <v>24.375</v>
      </c>
      <c r="E75">
        <v>22.75</v>
      </c>
      <c r="F75">
        <v>1.5</v>
      </c>
      <c r="G75">
        <v>0</v>
      </c>
      <c r="H75">
        <v>12</v>
      </c>
      <c r="I75">
        <f>H75*1.594388</f>
        <v>19.132655999999997</v>
      </c>
      <c r="J75">
        <v>0</v>
      </c>
      <c r="K75">
        <f>J75*1.255082</f>
        <v>0</v>
      </c>
      <c r="L75">
        <f>C75+D75+E75+F75+G75+I75+K75</f>
        <v>87.757655999999997</v>
      </c>
    </row>
    <row r="76" spans="1:12" x14ac:dyDescent="0.3">
      <c r="A76">
        <v>230509</v>
      </c>
      <c r="B76" t="s">
        <v>93</v>
      </c>
      <c r="C76">
        <v>20</v>
      </c>
      <c r="D76">
        <v>23.5</v>
      </c>
      <c r="E76">
        <v>18.25</v>
      </c>
      <c r="F76">
        <v>1.5</v>
      </c>
      <c r="G76">
        <v>24.5</v>
      </c>
      <c r="H76">
        <v>0</v>
      </c>
      <c r="I76">
        <f>H76*1.594388</f>
        <v>0</v>
      </c>
      <c r="J76">
        <v>0</v>
      </c>
      <c r="K76">
        <f>J76*1.255082</f>
        <v>0</v>
      </c>
      <c r="L76">
        <f>C76+D76+E76+F76+G76+I76+K76</f>
        <v>87.75</v>
      </c>
    </row>
    <row r="77" spans="1:12" x14ac:dyDescent="0.3">
      <c r="A77">
        <v>231012</v>
      </c>
      <c r="B77" t="s">
        <v>175</v>
      </c>
      <c r="C77">
        <v>20</v>
      </c>
      <c r="D77">
        <v>24.125</v>
      </c>
      <c r="E77">
        <v>20.5</v>
      </c>
      <c r="F77">
        <v>1.5</v>
      </c>
      <c r="G77">
        <v>0</v>
      </c>
      <c r="H77">
        <v>13.5</v>
      </c>
      <c r="I77">
        <f>H77*1.594388</f>
        <v>21.524238</v>
      </c>
      <c r="J77">
        <v>0</v>
      </c>
      <c r="K77">
        <f>J77*1.255082</f>
        <v>0</v>
      </c>
      <c r="L77">
        <f>C77+D77+E77+F77+G77+I77+K77</f>
        <v>87.649237999999997</v>
      </c>
    </row>
    <row r="78" spans="1:12" x14ac:dyDescent="0.3">
      <c r="A78">
        <v>230573</v>
      </c>
      <c r="B78" t="s">
        <v>107</v>
      </c>
      <c r="C78">
        <v>20</v>
      </c>
      <c r="D78">
        <v>24.375</v>
      </c>
      <c r="E78">
        <v>21.75</v>
      </c>
      <c r="F78">
        <v>1.5</v>
      </c>
      <c r="G78">
        <v>0</v>
      </c>
      <c r="H78">
        <v>12.5</v>
      </c>
      <c r="I78">
        <f>H78*1.594388</f>
        <v>19.929849999999998</v>
      </c>
      <c r="J78">
        <v>0</v>
      </c>
      <c r="K78">
        <f>J78*1.255082</f>
        <v>0</v>
      </c>
      <c r="L78">
        <f>C78+D78+E78+F78+G78+I78+K78</f>
        <v>87.554850000000002</v>
      </c>
    </row>
    <row r="79" spans="1:12" x14ac:dyDescent="0.3">
      <c r="A79">
        <v>230071</v>
      </c>
      <c r="B79" t="s">
        <v>24</v>
      </c>
      <c r="C79">
        <v>20</v>
      </c>
      <c r="D79">
        <v>23.5</v>
      </c>
      <c r="E79">
        <v>22.666666666666668</v>
      </c>
      <c r="F79">
        <v>5</v>
      </c>
      <c r="G79">
        <v>0</v>
      </c>
      <c r="H79">
        <v>0</v>
      </c>
      <c r="I79">
        <f>H79*1.594388</f>
        <v>0</v>
      </c>
      <c r="J79">
        <v>13</v>
      </c>
      <c r="K79">
        <f>J79*1.255082</f>
        <v>16.316065999999999</v>
      </c>
      <c r="L79">
        <f>C79+D79+E79+F79+G79+I79+K79</f>
        <v>87.482732666666664</v>
      </c>
    </row>
    <row r="80" spans="1:12" x14ac:dyDescent="0.3">
      <c r="A80">
        <v>230931</v>
      </c>
      <c r="B80" t="s">
        <v>161</v>
      </c>
      <c r="C80">
        <v>20</v>
      </c>
      <c r="D80">
        <v>24</v>
      </c>
      <c r="E80">
        <v>19.333333333333332</v>
      </c>
      <c r="F80">
        <v>3</v>
      </c>
      <c r="G80">
        <v>0</v>
      </c>
      <c r="H80">
        <v>0</v>
      </c>
      <c r="I80">
        <f>H80*1.594388</f>
        <v>0</v>
      </c>
      <c r="J80">
        <v>16.5</v>
      </c>
      <c r="K80">
        <f>J80*1.255082</f>
        <v>20.708853000000001</v>
      </c>
      <c r="L80">
        <f>C80+D80+E80+F80+G80+I80+K80</f>
        <v>87.042186333333333</v>
      </c>
    </row>
    <row r="81" spans="1:12" x14ac:dyDescent="0.3">
      <c r="A81">
        <v>230510</v>
      </c>
      <c r="B81" t="s">
        <v>94</v>
      </c>
      <c r="C81">
        <v>20</v>
      </c>
      <c r="D81">
        <v>24.625</v>
      </c>
      <c r="E81">
        <v>19.416666666666668</v>
      </c>
      <c r="F81">
        <v>1.5</v>
      </c>
      <c r="G81">
        <v>21.5</v>
      </c>
      <c r="H81">
        <v>0</v>
      </c>
      <c r="I81">
        <f>H81*1.594388</f>
        <v>0</v>
      </c>
      <c r="J81">
        <v>0</v>
      </c>
      <c r="K81">
        <f>J81*1.255082</f>
        <v>0</v>
      </c>
      <c r="L81">
        <f>C81+D81+E81+F81+G81+I81+K81</f>
        <v>87.041666666666671</v>
      </c>
    </row>
    <row r="82" spans="1:12" x14ac:dyDescent="0.3">
      <c r="A82">
        <v>230730</v>
      </c>
      <c r="B82" t="s">
        <v>132</v>
      </c>
      <c r="C82">
        <v>20</v>
      </c>
      <c r="D82">
        <v>23.375</v>
      </c>
      <c r="E82">
        <v>21.541666666666668</v>
      </c>
      <c r="F82">
        <v>4.5</v>
      </c>
      <c r="G82">
        <v>0</v>
      </c>
      <c r="H82">
        <v>0</v>
      </c>
      <c r="I82">
        <f>H82*1.594388</f>
        <v>0</v>
      </c>
      <c r="J82">
        <v>14</v>
      </c>
      <c r="K82">
        <f>J82*1.255082</f>
        <v>17.571148000000001</v>
      </c>
      <c r="L82">
        <f>C82+D82+E82+F82+G82+I82+K82</f>
        <v>86.987814666666679</v>
      </c>
    </row>
    <row r="83" spans="1:12" x14ac:dyDescent="0.3">
      <c r="A83">
        <v>230882</v>
      </c>
      <c r="B83" t="s">
        <v>156</v>
      </c>
      <c r="C83">
        <v>18</v>
      </c>
      <c r="D83">
        <v>24</v>
      </c>
      <c r="E83">
        <v>20.375</v>
      </c>
      <c r="F83">
        <v>0</v>
      </c>
      <c r="G83">
        <v>0</v>
      </c>
      <c r="H83">
        <v>0</v>
      </c>
      <c r="I83">
        <f>H83*1.594388</f>
        <v>0</v>
      </c>
      <c r="J83">
        <v>19.5</v>
      </c>
      <c r="K83">
        <f>J83*1.255082</f>
        <v>24.474098999999999</v>
      </c>
      <c r="L83">
        <f>C83+D83+E83+F83+G83+I83+K83</f>
        <v>86.849098999999995</v>
      </c>
    </row>
    <row r="84" spans="1:12" x14ac:dyDescent="0.3">
      <c r="A84">
        <v>230776</v>
      </c>
      <c r="B84" t="s">
        <v>137</v>
      </c>
      <c r="C84">
        <v>17.3</v>
      </c>
      <c r="D84">
        <v>24.5</v>
      </c>
      <c r="E84">
        <v>20.291666666666668</v>
      </c>
      <c r="F84">
        <v>1.5</v>
      </c>
      <c r="G84">
        <v>0</v>
      </c>
      <c r="H84">
        <v>0</v>
      </c>
      <c r="I84">
        <f>H84*1.594388</f>
        <v>0</v>
      </c>
      <c r="J84">
        <v>18.5</v>
      </c>
      <c r="K84">
        <f>J84*1.255082</f>
        <v>23.219017000000001</v>
      </c>
      <c r="L84">
        <f>C84+D84+E84+F84+G84+I84+K84</f>
        <v>86.810683666666677</v>
      </c>
    </row>
    <row r="85" spans="1:12" x14ac:dyDescent="0.3">
      <c r="A85">
        <v>230779</v>
      </c>
      <c r="B85" t="s">
        <v>138</v>
      </c>
      <c r="C85">
        <v>15.83</v>
      </c>
      <c r="D85">
        <v>24.375</v>
      </c>
      <c r="E85">
        <v>19.083333333333336</v>
      </c>
      <c r="F85">
        <v>2.5</v>
      </c>
      <c r="G85">
        <v>0</v>
      </c>
      <c r="H85">
        <v>18</v>
      </c>
      <c r="I85">
        <v>25</v>
      </c>
      <c r="J85">
        <v>0</v>
      </c>
      <c r="K85">
        <f>J85*1.255082</f>
        <v>0</v>
      </c>
      <c r="L85">
        <f>C85+D85+E85+F85+G85+I85+K85</f>
        <v>86.788333333333327</v>
      </c>
    </row>
    <row r="86" spans="1:12" x14ac:dyDescent="0.3">
      <c r="A86">
        <v>231172</v>
      </c>
      <c r="B86" t="s">
        <v>203</v>
      </c>
      <c r="C86">
        <v>18.53</v>
      </c>
      <c r="D86">
        <v>24.625</v>
      </c>
      <c r="E86">
        <v>21.583333333333332</v>
      </c>
      <c r="F86">
        <v>5</v>
      </c>
      <c r="G86">
        <v>17</v>
      </c>
      <c r="H86">
        <v>0</v>
      </c>
      <c r="I86">
        <f>H86*1.594388</f>
        <v>0</v>
      </c>
      <c r="J86">
        <v>0</v>
      </c>
      <c r="K86">
        <f>J86*1.255082</f>
        <v>0</v>
      </c>
      <c r="L86">
        <f>C86+D86+E86+F86+G86+I86+K86</f>
        <v>86.73833333333333</v>
      </c>
    </row>
    <row r="87" spans="1:12" x14ac:dyDescent="0.3">
      <c r="A87">
        <v>231087</v>
      </c>
      <c r="B87" t="s">
        <v>188</v>
      </c>
      <c r="C87">
        <v>20</v>
      </c>
      <c r="D87">
        <v>23.625</v>
      </c>
      <c r="E87">
        <v>17.833333333333336</v>
      </c>
      <c r="F87">
        <v>0</v>
      </c>
      <c r="G87">
        <v>0</v>
      </c>
      <c r="H87">
        <v>19</v>
      </c>
      <c r="I87">
        <v>25</v>
      </c>
      <c r="J87">
        <v>0</v>
      </c>
      <c r="K87">
        <f>J87*1.255082</f>
        <v>0</v>
      </c>
      <c r="L87">
        <f>C87+D87+E87+F87+G87+I87+K87</f>
        <v>86.458333333333343</v>
      </c>
    </row>
    <row r="88" spans="1:12" x14ac:dyDescent="0.3">
      <c r="A88">
        <v>230091</v>
      </c>
      <c r="B88" t="s">
        <v>29</v>
      </c>
      <c r="C88">
        <v>20</v>
      </c>
      <c r="D88">
        <v>23.75</v>
      </c>
      <c r="E88">
        <v>19.083333333333332</v>
      </c>
      <c r="F88">
        <v>1.5</v>
      </c>
      <c r="G88">
        <v>22</v>
      </c>
      <c r="H88">
        <v>0</v>
      </c>
      <c r="I88">
        <f>H88*1.594388</f>
        <v>0</v>
      </c>
      <c r="J88">
        <v>0</v>
      </c>
      <c r="K88">
        <f>J88*1.255082</f>
        <v>0</v>
      </c>
      <c r="L88">
        <f>C88+D88+E88+F88+G88+I88+K88</f>
        <v>86.333333333333329</v>
      </c>
    </row>
    <row r="89" spans="1:12" x14ac:dyDescent="0.3">
      <c r="A89">
        <v>231015</v>
      </c>
      <c r="B89" t="s">
        <v>177</v>
      </c>
      <c r="C89">
        <v>17.399999999999999</v>
      </c>
      <c r="D89">
        <v>24.75</v>
      </c>
      <c r="E89">
        <v>21.333333333333332</v>
      </c>
      <c r="F89">
        <v>3.5</v>
      </c>
      <c r="G89">
        <v>0</v>
      </c>
      <c r="H89">
        <v>12</v>
      </c>
      <c r="I89">
        <f>H89*1.594388</f>
        <v>19.132655999999997</v>
      </c>
      <c r="J89">
        <v>0</v>
      </c>
      <c r="K89">
        <f>J89*1.255082</f>
        <v>0</v>
      </c>
      <c r="L89">
        <f>C89+D89+E89+F89+G89+I89+K89</f>
        <v>86.115989333333332</v>
      </c>
    </row>
    <row r="90" spans="1:12" x14ac:dyDescent="0.3">
      <c r="A90">
        <v>230588</v>
      </c>
      <c r="B90" t="s">
        <v>110</v>
      </c>
      <c r="C90">
        <v>20</v>
      </c>
      <c r="D90">
        <v>24.625</v>
      </c>
      <c r="E90">
        <v>23</v>
      </c>
      <c r="F90">
        <v>1.5</v>
      </c>
      <c r="G90">
        <v>0</v>
      </c>
      <c r="H90">
        <v>0</v>
      </c>
      <c r="I90">
        <f>H90*1.594388</f>
        <v>0</v>
      </c>
      <c r="J90">
        <v>13.5</v>
      </c>
      <c r="K90">
        <f>J90*1.255082</f>
        <v>16.943607</v>
      </c>
      <c r="L90">
        <f>C90+D90+E90+F90+G90+I90+K90</f>
        <v>86.068607</v>
      </c>
    </row>
    <row r="91" spans="1:12" x14ac:dyDescent="0.3">
      <c r="A91">
        <v>230867</v>
      </c>
      <c r="B91" t="s">
        <v>152</v>
      </c>
      <c r="C91">
        <v>20</v>
      </c>
      <c r="D91">
        <v>23.375</v>
      </c>
      <c r="E91">
        <v>19.625</v>
      </c>
      <c r="F91">
        <v>1.5</v>
      </c>
      <c r="G91">
        <v>0</v>
      </c>
      <c r="H91">
        <v>13.5</v>
      </c>
      <c r="I91">
        <f>H91*1.594388</f>
        <v>21.524238</v>
      </c>
      <c r="J91">
        <v>0</v>
      </c>
      <c r="K91">
        <f>J91*1.255082</f>
        <v>0</v>
      </c>
      <c r="L91">
        <f>C91+D91+E91+F91+G91+I91+K91</f>
        <v>86.024237999999997</v>
      </c>
    </row>
    <row r="92" spans="1:12" x14ac:dyDescent="0.3">
      <c r="A92">
        <v>230177</v>
      </c>
      <c r="B92" t="s">
        <v>45</v>
      </c>
      <c r="C92">
        <v>20</v>
      </c>
      <c r="D92">
        <v>24.625</v>
      </c>
      <c r="E92">
        <v>22.333333333333332</v>
      </c>
      <c r="F92">
        <v>1.5</v>
      </c>
      <c r="G92">
        <v>0</v>
      </c>
      <c r="H92">
        <v>11</v>
      </c>
      <c r="I92">
        <f>H92*1.594388</f>
        <v>17.538267999999999</v>
      </c>
      <c r="J92">
        <v>0</v>
      </c>
      <c r="K92">
        <f>J92*1.255082</f>
        <v>0</v>
      </c>
      <c r="L92">
        <f>C92+D92+E92+F92+G92+I92+K92</f>
        <v>85.996601333333331</v>
      </c>
    </row>
    <row r="93" spans="1:12" x14ac:dyDescent="0.3">
      <c r="A93">
        <v>230498</v>
      </c>
      <c r="B93" t="s">
        <v>91</v>
      </c>
      <c r="C93">
        <v>20</v>
      </c>
      <c r="D93">
        <v>24</v>
      </c>
      <c r="E93">
        <v>20.083333333333332</v>
      </c>
      <c r="F93">
        <v>3.5</v>
      </c>
      <c r="G93">
        <v>0</v>
      </c>
      <c r="H93">
        <v>11.5</v>
      </c>
      <c r="I93">
        <f>H93*1.594388</f>
        <v>18.335462</v>
      </c>
      <c r="J93">
        <v>0</v>
      </c>
      <c r="K93">
        <f>J93*1.255082</f>
        <v>0</v>
      </c>
      <c r="L93">
        <f>C93+D93+E93+F93+G93+I93+K93</f>
        <v>85.918795333333321</v>
      </c>
    </row>
    <row r="94" spans="1:12" x14ac:dyDescent="0.3">
      <c r="A94">
        <v>230102</v>
      </c>
      <c r="B94" t="s">
        <v>32</v>
      </c>
      <c r="C94">
        <v>20</v>
      </c>
      <c r="D94">
        <v>23.25</v>
      </c>
      <c r="E94">
        <v>21.333333333333332</v>
      </c>
      <c r="F94">
        <v>5</v>
      </c>
      <c r="G94">
        <v>0</v>
      </c>
      <c r="H94">
        <v>0</v>
      </c>
      <c r="I94">
        <f>H94*1.594388</f>
        <v>0</v>
      </c>
      <c r="J94">
        <v>13</v>
      </c>
      <c r="K94">
        <f>J94*1.255082</f>
        <v>16.316065999999999</v>
      </c>
      <c r="L94">
        <f>C94+D94+E94+F94+G94+I94+K94</f>
        <v>85.899399333333321</v>
      </c>
    </row>
    <row r="95" spans="1:12" x14ac:dyDescent="0.3">
      <c r="A95">
        <v>230491</v>
      </c>
      <c r="B95" t="s">
        <v>89</v>
      </c>
      <c r="C95">
        <v>20</v>
      </c>
      <c r="D95">
        <v>24.5</v>
      </c>
      <c r="E95">
        <v>19.833333333333332</v>
      </c>
      <c r="F95">
        <v>3.5</v>
      </c>
      <c r="G95">
        <v>18</v>
      </c>
      <c r="H95">
        <v>0</v>
      </c>
      <c r="I95">
        <f>H95*1.594388</f>
        <v>0</v>
      </c>
      <c r="J95">
        <v>0</v>
      </c>
      <c r="K95">
        <f>J95*1.255082</f>
        <v>0</v>
      </c>
      <c r="L95">
        <f>C95+D95+E95+F95+G95+I95+K95</f>
        <v>85.833333333333329</v>
      </c>
    </row>
    <row r="96" spans="1:12" x14ac:dyDescent="0.3">
      <c r="A96">
        <v>230255</v>
      </c>
      <c r="B96" t="s">
        <v>58</v>
      </c>
      <c r="C96">
        <v>16.57</v>
      </c>
      <c r="D96">
        <v>24.125</v>
      </c>
      <c r="E96">
        <v>19.166666666666668</v>
      </c>
      <c r="F96">
        <v>4</v>
      </c>
      <c r="G96">
        <v>0</v>
      </c>
      <c r="H96">
        <v>0</v>
      </c>
      <c r="I96">
        <f>H96*1.594388</f>
        <v>0</v>
      </c>
      <c r="J96">
        <v>17.5</v>
      </c>
      <c r="K96">
        <f>J96*1.255082</f>
        <v>21.963934999999999</v>
      </c>
      <c r="L96">
        <f>C96+D96+E96+F96+G96+I96+K96</f>
        <v>85.825601666666671</v>
      </c>
    </row>
    <row r="97" spans="1:12" x14ac:dyDescent="0.3">
      <c r="A97">
        <v>230784</v>
      </c>
      <c r="B97" t="s">
        <v>139</v>
      </c>
      <c r="C97">
        <v>14.2</v>
      </c>
      <c r="D97">
        <v>24.25</v>
      </c>
      <c r="E97">
        <v>19.375</v>
      </c>
      <c r="F97">
        <v>3</v>
      </c>
      <c r="G97">
        <v>0</v>
      </c>
      <c r="H97">
        <v>0</v>
      </c>
      <c r="I97">
        <f>H97*1.594388</f>
        <v>0</v>
      </c>
      <c r="J97">
        <v>21.5</v>
      </c>
      <c r="K97">
        <v>25</v>
      </c>
      <c r="L97">
        <f>C97+D97+E97+F97+G97+I97+K97</f>
        <v>85.825000000000003</v>
      </c>
    </row>
    <row r="98" spans="1:12" x14ac:dyDescent="0.3">
      <c r="A98">
        <v>230069</v>
      </c>
      <c r="B98" t="s">
        <v>23</v>
      </c>
      <c r="C98">
        <v>20</v>
      </c>
      <c r="D98">
        <v>24.375</v>
      </c>
      <c r="E98">
        <v>19.375</v>
      </c>
      <c r="F98">
        <v>1.5</v>
      </c>
      <c r="G98">
        <v>20.5</v>
      </c>
      <c r="H98">
        <v>0</v>
      </c>
      <c r="I98">
        <f>H98*1.594388</f>
        <v>0</v>
      </c>
      <c r="J98">
        <v>0</v>
      </c>
      <c r="K98">
        <f>J98*1.255082</f>
        <v>0</v>
      </c>
      <c r="L98">
        <f>C98+D98+E98+F98+G98+I98+K98</f>
        <v>85.75</v>
      </c>
    </row>
    <row r="99" spans="1:12" x14ac:dyDescent="0.3">
      <c r="A99">
        <v>230248</v>
      </c>
      <c r="B99" t="s">
        <v>56</v>
      </c>
      <c r="C99">
        <v>19.829999999999998</v>
      </c>
      <c r="D99">
        <v>23.75</v>
      </c>
      <c r="E99">
        <v>20.833333333333332</v>
      </c>
      <c r="F99">
        <v>5</v>
      </c>
      <c r="G99">
        <v>0</v>
      </c>
      <c r="H99">
        <v>10</v>
      </c>
      <c r="I99">
        <f>H99*1.594388</f>
        <v>15.94388</v>
      </c>
      <c r="J99">
        <v>0</v>
      </c>
      <c r="K99">
        <f>J99*1.255082</f>
        <v>0</v>
      </c>
      <c r="L99">
        <f>C99+D99+E99+F99+G99+I99+K99</f>
        <v>85.357213333333334</v>
      </c>
    </row>
    <row r="100" spans="1:12" x14ac:dyDescent="0.3">
      <c r="A100">
        <v>230679</v>
      </c>
      <c r="B100" t="s">
        <v>122</v>
      </c>
      <c r="C100">
        <v>20</v>
      </c>
      <c r="D100">
        <v>23.125</v>
      </c>
      <c r="E100">
        <v>20.166666666666668</v>
      </c>
      <c r="F100">
        <v>5</v>
      </c>
      <c r="G100">
        <v>0</v>
      </c>
      <c r="H100">
        <v>0</v>
      </c>
      <c r="I100">
        <f>H100*1.594388</f>
        <v>0</v>
      </c>
      <c r="J100">
        <v>13.5</v>
      </c>
      <c r="K100">
        <f>J100*1.255082</f>
        <v>16.943607</v>
      </c>
      <c r="L100">
        <f>C100+D100+E100+F100+G100+I100+K100</f>
        <v>85.235273666666671</v>
      </c>
    </row>
    <row r="101" spans="1:12" x14ac:dyDescent="0.3">
      <c r="A101">
        <v>230786</v>
      </c>
      <c r="B101" t="s">
        <v>141</v>
      </c>
      <c r="C101">
        <v>15.97</v>
      </c>
      <c r="D101">
        <v>25</v>
      </c>
      <c r="E101">
        <v>16.083333333333336</v>
      </c>
      <c r="F101">
        <v>3</v>
      </c>
      <c r="G101">
        <v>0</v>
      </c>
      <c r="H101">
        <v>18</v>
      </c>
      <c r="I101">
        <v>25</v>
      </c>
      <c r="J101">
        <v>0</v>
      </c>
      <c r="K101">
        <f>J101*1.255082</f>
        <v>0</v>
      </c>
      <c r="L101">
        <f>C101+D101+E101+F101+G101+I101+K101</f>
        <v>85.053333333333342</v>
      </c>
    </row>
    <row r="102" spans="1:12" x14ac:dyDescent="0.3">
      <c r="A102">
        <v>230530</v>
      </c>
      <c r="B102" t="s">
        <v>96</v>
      </c>
      <c r="C102">
        <v>20</v>
      </c>
      <c r="D102">
        <v>24.625</v>
      </c>
      <c r="E102">
        <v>18.416666666666668</v>
      </c>
      <c r="F102">
        <v>5</v>
      </c>
      <c r="G102">
        <v>0</v>
      </c>
      <c r="H102">
        <v>0</v>
      </c>
      <c r="I102">
        <f>H102*1.594388</f>
        <v>0</v>
      </c>
      <c r="J102">
        <v>13.5</v>
      </c>
      <c r="K102">
        <f>J102*1.255082</f>
        <v>16.943607</v>
      </c>
      <c r="L102">
        <f>C102+D102+E102+F102+G102+I102+K102</f>
        <v>84.985273666666671</v>
      </c>
    </row>
    <row r="103" spans="1:12" x14ac:dyDescent="0.3">
      <c r="A103">
        <v>230025</v>
      </c>
      <c r="B103" t="s">
        <v>19</v>
      </c>
      <c r="C103">
        <v>20</v>
      </c>
      <c r="D103">
        <v>25</v>
      </c>
      <c r="E103">
        <v>21.458333333333332</v>
      </c>
      <c r="F103">
        <v>5</v>
      </c>
      <c r="G103">
        <v>0</v>
      </c>
      <c r="H103">
        <v>0</v>
      </c>
      <c r="I103">
        <f>H103*1.594388</f>
        <v>0</v>
      </c>
      <c r="J103">
        <v>10.5</v>
      </c>
      <c r="K103">
        <f>J103*1.255082</f>
        <v>13.178361000000001</v>
      </c>
      <c r="L103">
        <f>C103+D103+E103+F103+G103+I103+K103</f>
        <v>84.636694333333324</v>
      </c>
    </row>
    <row r="104" spans="1:12" x14ac:dyDescent="0.3">
      <c r="A104">
        <v>230957</v>
      </c>
      <c r="B104" t="s">
        <v>165</v>
      </c>
      <c r="C104">
        <v>20</v>
      </c>
      <c r="D104">
        <v>24.375</v>
      </c>
      <c r="E104">
        <v>18.375</v>
      </c>
      <c r="F104">
        <v>3.5</v>
      </c>
      <c r="G104">
        <v>0</v>
      </c>
      <c r="H104">
        <v>11.5</v>
      </c>
      <c r="I104">
        <f>H104*1.594388</f>
        <v>18.335462</v>
      </c>
      <c r="J104">
        <v>0</v>
      </c>
      <c r="K104">
        <f>J104*1.255082</f>
        <v>0</v>
      </c>
      <c r="L104">
        <f>C104+D104+E104+F104+G104+I104+K104</f>
        <v>84.585462000000007</v>
      </c>
    </row>
    <row r="105" spans="1:12" x14ac:dyDescent="0.3">
      <c r="A105">
        <v>230583</v>
      </c>
      <c r="B105" t="s">
        <v>109</v>
      </c>
      <c r="C105">
        <v>20</v>
      </c>
      <c r="D105">
        <v>24</v>
      </c>
      <c r="E105">
        <v>16.333333333333336</v>
      </c>
      <c r="F105">
        <v>3.5</v>
      </c>
      <c r="G105">
        <v>0</v>
      </c>
      <c r="H105">
        <v>13</v>
      </c>
      <c r="I105">
        <f>H105*1.594388</f>
        <v>20.727043999999999</v>
      </c>
      <c r="J105">
        <v>0</v>
      </c>
      <c r="K105">
        <f>J105*1.255082</f>
        <v>0</v>
      </c>
      <c r="L105">
        <f>C105+D105+E105+F105+G105+I105+K105</f>
        <v>84.560377333333335</v>
      </c>
    </row>
    <row r="106" spans="1:12" x14ac:dyDescent="0.3">
      <c r="A106">
        <v>231173</v>
      </c>
      <c r="B106" t="s">
        <v>204</v>
      </c>
      <c r="C106">
        <v>20</v>
      </c>
      <c r="D106">
        <v>24.875</v>
      </c>
      <c r="E106">
        <v>16.375</v>
      </c>
      <c r="F106">
        <v>0</v>
      </c>
      <c r="G106">
        <v>23</v>
      </c>
      <c r="H106">
        <v>0</v>
      </c>
      <c r="I106">
        <f>H106*1.594388</f>
        <v>0</v>
      </c>
      <c r="J106">
        <v>0</v>
      </c>
      <c r="K106">
        <f>J106*1.255082</f>
        <v>0</v>
      </c>
      <c r="L106">
        <f>C106+D106+E106+F106+G106+I106+K106</f>
        <v>84.25</v>
      </c>
    </row>
    <row r="107" spans="1:12" x14ac:dyDescent="0.3">
      <c r="A107">
        <v>230448</v>
      </c>
      <c r="B107" t="s">
        <v>79</v>
      </c>
      <c r="C107">
        <v>20</v>
      </c>
      <c r="D107">
        <v>23.875</v>
      </c>
      <c r="E107">
        <v>18.083333333333336</v>
      </c>
      <c r="F107">
        <v>1.5</v>
      </c>
      <c r="G107">
        <v>20.5</v>
      </c>
      <c r="H107">
        <v>0</v>
      </c>
      <c r="I107">
        <f>H107*1.594388</f>
        <v>0</v>
      </c>
      <c r="J107">
        <v>0</v>
      </c>
      <c r="K107">
        <f>J107*1.255082</f>
        <v>0</v>
      </c>
      <c r="L107">
        <f>C107+D107+E107+F107+G107+I107+K107</f>
        <v>83.958333333333343</v>
      </c>
    </row>
    <row r="108" spans="1:12" x14ac:dyDescent="0.3">
      <c r="A108">
        <v>231009</v>
      </c>
      <c r="B108" t="s">
        <v>172</v>
      </c>
      <c r="C108">
        <v>20</v>
      </c>
      <c r="D108">
        <v>24.625</v>
      </c>
      <c r="E108">
        <v>18.5</v>
      </c>
      <c r="F108">
        <v>3.5</v>
      </c>
      <c r="G108">
        <v>0</v>
      </c>
      <c r="H108">
        <v>10.5</v>
      </c>
      <c r="I108">
        <f>H108*1.594388</f>
        <v>16.741073999999998</v>
      </c>
      <c r="J108">
        <v>0</v>
      </c>
      <c r="K108">
        <f>J108*1.255082</f>
        <v>0</v>
      </c>
      <c r="L108">
        <f>C108+D108+E108+F108+G108+I108+K108</f>
        <v>83.366073999999998</v>
      </c>
    </row>
    <row r="109" spans="1:12" x14ac:dyDescent="0.3">
      <c r="A109">
        <v>230537</v>
      </c>
      <c r="B109" t="s">
        <v>98</v>
      </c>
      <c r="C109">
        <v>20</v>
      </c>
      <c r="D109">
        <v>24.375</v>
      </c>
      <c r="E109">
        <v>18.333333333333332</v>
      </c>
      <c r="F109">
        <v>1.5</v>
      </c>
      <c r="G109">
        <v>0</v>
      </c>
      <c r="H109">
        <v>0</v>
      </c>
      <c r="I109">
        <f>H109*1.594388</f>
        <v>0</v>
      </c>
      <c r="J109">
        <v>15</v>
      </c>
      <c r="K109">
        <f>J109*1.255082</f>
        <v>18.826229999999999</v>
      </c>
      <c r="L109">
        <f>C109+D109+E109+F109+G109+I109+K109</f>
        <v>83.034563333333324</v>
      </c>
    </row>
    <row r="110" spans="1:12" x14ac:dyDescent="0.3">
      <c r="A110">
        <v>230249</v>
      </c>
      <c r="B110" t="s">
        <v>57</v>
      </c>
      <c r="C110">
        <v>20</v>
      </c>
      <c r="D110">
        <v>24.625</v>
      </c>
      <c r="E110">
        <v>20</v>
      </c>
      <c r="F110">
        <v>0</v>
      </c>
      <c r="G110">
        <v>0</v>
      </c>
      <c r="H110">
        <v>11.5</v>
      </c>
      <c r="I110">
        <f>H110*1.594388</f>
        <v>18.335462</v>
      </c>
      <c r="J110">
        <v>0</v>
      </c>
      <c r="K110">
        <f>J110*1.255082</f>
        <v>0</v>
      </c>
      <c r="L110">
        <f>C110+D110+E110+F110+G110+I110+K110</f>
        <v>82.960462000000007</v>
      </c>
    </row>
    <row r="111" spans="1:12" x14ac:dyDescent="0.3">
      <c r="A111">
        <v>230004</v>
      </c>
      <c r="B111" t="s">
        <v>17</v>
      </c>
      <c r="C111">
        <v>20</v>
      </c>
      <c r="D111">
        <v>24.375</v>
      </c>
      <c r="E111">
        <v>18.741666666666667</v>
      </c>
      <c r="F111">
        <v>3</v>
      </c>
      <c r="G111">
        <v>0</v>
      </c>
      <c r="H111">
        <v>10.5</v>
      </c>
      <c r="I111">
        <f>H111*1.594388</f>
        <v>16.741073999999998</v>
      </c>
      <c r="J111">
        <v>0</v>
      </c>
      <c r="K111">
        <f>J111*1.255082</f>
        <v>0</v>
      </c>
      <c r="L111">
        <f>C111+D111+E111+F111+G111+I111+K111</f>
        <v>82.857740666666672</v>
      </c>
    </row>
    <row r="112" spans="1:12" x14ac:dyDescent="0.3">
      <c r="A112">
        <v>230438</v>
      </c>
      <c r="B112" t="s">
        <v>77</v>
      </c>
      <c r="C112">
        <v>20</v>
      </c>
      <c r="D112">
        <v>25</v>
      </c>
      <c r="E112">
        <v>20</v>
      </c>
      <c r="F112">
        <v>3.5</v>
      </c>
      <c r="G112">
        <v>0</v>
      </c>
      <c r="H112">
        <v>9</v>
      </c>
      <c r="I112">
        <f>H112*1.594388</f>
        <v>14.349492</v>
      </c>
      <c r="J112">
        <v>0</v>
      </c>
      <c r="K112">
        <f>J112*1.255082</f>
        <v>0</v>
      </c>
      <c r="L112">
        <f>C112+D112+E112+F112+G112+I112+K112</f>
        <v>82.849491999999998</v>
      </c>
    </row>
    <row r="113" spans="1:12" x14ac:dyDescent="0.3">
      <c r="A113">
        <v>230088</v>
      </c>
      <c r="B113" t="s">
        <v>28</v>
      </c>
      <c r="C113">
        <v>20</v>
      </c>
      <c r="D113">
        <v>23.25</v>
      </c>
      <c r="E113">
        <v>18.75</v>
      </c>
      <c r="F113">
        <v>2.5</v>
      </c>
      <c r="G113">
        <v>0</v>
      </c>
      <c r="H113">
        <v>11.5</v>
      </c>
      <c r="I113">
        <f>H113*1.594388</f>
        <v>18.335462</v>
      </c>
      <c r="J113">
        <v>0</v>
      </c>
      <c r="K113">
        <f>J113*1.255082</f>
        <v>0</v>
      </c>
      <c r="L113">
        <f>C113+D113+E113+F113+G113+I113+K113</f>
        <v>82.835462000000007</v>
      </c>
    </row>
    <row r="114" spans="1:12" x14ac:dyDescent="0.3">
      <c r="A114">
        <v>230043</v>
      </c>
      <c r="B114" t="s">
        <v>21</v>
      </c>
      <c r="C114">
        <v>20</v>
      </c>
      <c r="D114">
        <v>23.75</v>
      </c>
      <c r="E114">
        <v>16.583333333333336</v>
      </c>
      <c r="F114">
        <v>3.5</v>
      </c>
      <c r="G114">
        <v>19</v>
      </c>
      <c r="H114">
        <v>0</v>
      </c>
      <c r="I114">
        <f>H114*1.594388</f>
        <v>0</v>
      </c>
      <c r="J114">
        <v>0</v>
      </c>
      <c r="K114">
        <f>J114*1.255082</f>
        <v>0</v>
      </c>
      <c r="L114">
        <f>C114+D114+E114+F114+G114+I114+K114</f>
        <v>82.833333333333343</v>
      </c>
    </row>
    <row r="115" spans="1:12" x14ac:dyDescent="0.3">
      <c r="A115">
        <v>230648</v>
      </c>
      <c r="B115" t="s">
        <v>118</v>
      </c>
      <c r="C115">
        <v>19.829999999999998</v>
      </c>
      <c r="D115">
        <v>24.5</v>
      </c>
      <c r="E115">
        <v>19.333333333333332</v>
      </c>
      <c r="F115">
        <v>3.5</v>
      </c>
      <c r="G115">
        <v>0</v>
      </c>
      <c r="H115">
        <v>9.5</v>
      </c>
      <c r="I115">
        <f>H115*1.594388</f>
        <v>15.146685999999999</v>
      </c>
      <c r="J115">
        <v>0</v>
      </c>
      <c r="K115">
        <f>J115*1.255082</f>
        <v>0</v>
      </c>
      <c r="L115">
        <f>C115+D115+E115+F115+G115+I115+K115</f>
        <v>82.310019333333329</v>
      </c>
    </row>
    <row r="116" spans="1:12" x14ac:dyDescent="0.3">
      <c r="A116">
        <v>230993</v>
      </c>
      <c r="B116" t="s">
        <v>171</v>
      </c>
      <c r="C116">
        <v>20</v>
      </c>
      <c r="D116">
        <v>23.625</v>
      </c>
      <c r="E116">
        <v>19.625</v>
      </c>
      <c r="F116">
        <v>1.5</v>
      </c>
      <c r="G116">
        <v>17.5</v>
      </c>
      <c r="H116">
        <v>0</v>
      </c>
      <c r="I116">
        <f>H116*1.594388</f>
        <v>0</v>
      </c>
      <c r="J116">
        <v>0</v>
      </c>
      <c r="K116">
        <f>J116*1.255082</f>
        <v>0</v>
      </c>
      <c r="L116">
        <f>C116+D116+E116+F116+G116+I116+K116</f>
        <v>82.25</v>
      </c>
    </row>
    <row r="117" spans="1:12" x14ac:dyDescent="0.3">
      <c r="A117">
        <v>230119</v>
      </c>
      <c r="B117" t="s">
        <v>38</v>
      </c>
      <c r="C117">
        <v>20</v>
      </c>
      <c r="D117">
        <v>24.5</v>
      </c>
      <c r="E117">
        <v>21</v>
      </c>
      <c r="F117">
        <v>1.5</v>
      </c>
      <c r="G117">
        <v>15</v>
      </c>
      <c r="H117">
        <v>0</v>
      </c>
      <c r="I117">
        <f>H117*1.594388</f>
        <v>0</v>
      </c>
      <c r="J117">
        <v>0</v>
      </c>
      <c r="K117">
        <f>J117*1.255082</f>
        <v>0</v>
      </c>
      <c r="L117">
        <f>C117+D117+E117+F117+G117+I117+K117</f>
        <v>82</v>
      </c>
    </row>
    <row r="118" spans="1:12" x14ac:dyDescent="0.3">
      <c r="A118">
        <v>230546</v>
      </c>
      <c r="B118" t="s">
        <v>100</v>
      </c>
      <c r="C118">
        <v>20</v>
      </c>
      <c r="D118">
        <v>23.875</v>
      </c>
      <c r="E118">
        <v>20.083333333333332</v>
      </c>
      <c r="F118">
        <v>5</v>
      </c>
      <c r="G118">
        <v>0</v>
      </c>
      <c r="H118">
        <v>8</v>
      </c>
      <c r="I118">
        <f>H118*1.594388</f>
        <v>12.755103999999999</v>
      </c>
      <c r="J118">
        <v>0</v>
      </c>
      <c r="K118">
        <f>J118*1.255082</f>
        <v>0</v>
      </c>
      <c r="L118">
        <f>C118+D118+E118+F118+G118+I118+K118</f>
        <v>81.713437333333331</v>
      </c>
    </row>
    <row r="119" spans="1:12" x14ac:dyDescent="0.3">
      <c r="A119">
        <v>230217</v>
      </c>
      <c r="B119" t="s">
        <v>51</v>
      </c>
      <c r="C119">
        <v>19.77</v>
      </c>
      <c r="D119">
        <v>22.875</v>
      </c>
      <c r="E119">
        <v>19.5</v>
      </c>
      <c r="F119">
        <v>5</v>
      </c>
      <c r="G119">
        <v>0</v>
      </c>
      <c r="H119">
        <v>0</v>
      </c>
      <c r="I119">
        <f>H119*1.594388</f>
        <v>0</v>
      </c>
      <c r="J119">
        <v>11.5</v>
      </c>
      <c r="K119">
        <f>J119*1.255082</f>
        <v>14.433443</v>
      </c>
      <c r="L119">
        <f>C119+D119+E119+F119+G119+I119+K119</f>
        <v>81.578442999999993</v>
      </c>
    </row>
    <row r="120" spans="1:12" x14ac:dyDescent="0.3">
      <c r="A120">
        <v>230409</v>
      </c>
      <c r="B120" t="s">
        <v>75</v>
      </c>
      <c r="C120">
        <v>20</v>
      </c>
      <c r="D120">
        <v>24.25</v>
      </c>
      <c r="E120">
        <v>20.583333333333332</v>
      </c>
      <c r="F120">
        <v>1.5</v>
      </c>
      <c r="G120">
        <v>0</v>
      </c>
      <c r="H120">
        <v>0</v>
      </c>
      <c r="I120">
        <f>H120*1.594388</f>
        <v>0</v>
      </c>
      <c r="J120">
        <v>12</v>
      </c>
      <c r="K120">
        <f>J120*1.255082</f>
        <v>15.060984000000001</v>
      </c>
      <c r="L120">
        <f>C120+D120+E120+F120+G120+I120+K120</f>
        <v>81.394317333333333</v>
      </c>
    </row>
    <row r="121" spans="1:12" x14ac:dyDescent="0.3">
      <c r="A121">
        <v>231026</v>
      </c>
      <c r="B121" t="s">
        <v>179</v>
      </c>
      <c r="C121">
        <v>13.41</v>
      </c>
      <c r="D121">
        <v>23.5</v>
      </c>
      <c r="E121">
        <v>17.875</v>
      </c>
      <c r="F121">
        <v>1.5</v>
      </c>
      <c r="G121">
        <v>0</v>
      </c>
      <c r="H121">
        <v>0</v>
      </c>
      <c r="I121">
        <f>H121*1.594388</f>
        <v>0</v>
      </c>
      <c r="J121">
        <v>21.5</v>
      </c>
      <c r="K121">
        <v>25</v>
      </c>
      <c r="L121">
        <f>C121+D121+E121+F121+G121+I121+K121</f>
        <v>81.284999999999997</v>
      </c>
    </row>
    <row r="122" spans="1:12" x14ac:dyDescent="0.3">
      <c r="A122">
        <v>230732</v>
      </c>
      <c r="B122" t="s">
        <v>134</v>
      </c>
      <c r="C122">
        <v>20</v>
      </c>
      <c r="D122">
        <v>24.0625</v>
      </c>
      <c r="E122">
        <v>19.208333333333336</v>
      </c>
      <c r="F122">
        <v>1.5</v>
      </c>
      <c r="G122">
        <v>0</v>
      </c>
      <c r="H122">
        <v>0</v>
      </c>
      <c r="I122">
        <f>H122*1.594388</f>
        <v>0</v>
      </c>
      <c r="J122">
        <v>13</v>
      </c>
      <c r="K122">
        <f>J122*1.255082</f>
        <v>16.316065999999999</v>
      </c>
      <c r="L122">
        <f>C122+D122+E122+F122+G122+I122+K122</f>
        <v>81.086899333333349</v>
      </c>
    </row>
    <row r="123" spans="1:12" x14ac:dyDescent="0.3">
      <c r="A123">
        <v>230633</v>
      </c>
      <c r="B123" t="s">
        <v>117</v>
      </c>
      <c r="C123">
        <v>20</v>
      </c>
      <c r="D123">
        <v>24.4375</v>
      </c>
      <c r="E123">
        <v>18.25</v>
      </c>
      <c r="F123">
        <v>1.5</v>
      </c>
      <c r="G123">
        <v>0</v>
      </c>
      <c r="H123">
        <v>10.5</v>
      </c>
      <c r="I123">
        <f>H123*1.594388</f>
        <v>16.741073999999998</v>
      </c>
      <c r="J123">
        <v>0</v>
      </c>
      <c r="K123">
        <f>J123*1.255082</f>
        <v>0</v>
      </c>
      <c r="L123">
        <f>C123+D123+E123+F123+G123+I123+K123</f>
        <v>80.928573999999998</v>
      </c>
    </row>
    <row r="124" spans="1:12" x14ac:dyDescent="0.3">
      <c r="A124">
        <v>230198</v>
      </c>
      <c r="B124" t="s">
        <v>49</v>
      </c>
      <c r="C124">
        <v>15.73</v>
      </c>
      <c r="D124">
        <v>22.875</v>
      </c>
      <c r="E124">
        <v>19.25</v>
      </c>
      <c r="F124">
        <v>5</v>
      </c>
      <c r="G124">
        <v>18</v>
      </c>
      <c r="H124">
        <v>0</v>
      </c>
      <c r="I124">
        <f>H124*1.594388</f>
        <v>0</v>
      </c>
      <c r="J124">
        <v>0</v>
      </c>
      <c r="K124">
        <f>J124*1.255082</f>
        <v>0</v>
      </c>
      <c r="L124">
        <f>C124+D124+E124+F124+G124+I124+K124</f>
        <v>80.855000000000004</v>
      </c>
    </row>
    <row r="125" spans="1:12" x14ac:dyDescent="0.3">
      <c r="A125">
        <v>230095</v>
      </c>
      <c r="B125" t="s">
        <v>30</v>
      </c>
      <c r="C125">
        <v>15.17</v>
      </c>
      <c r="D125">
        <v>23.875</v>
      </c>
      <c r="E125">
        <v>19.916666666666668</v>
      </c>
      <c r="F125">
        <v>3</v>
      </c>
      <c r="G125">
        <v>0</v>
      </c>
      <c r="H125">
        <v>0</v>
      </c>
      <c r="I125">
        <f>H125*1.594388</f>
        <v>0</v>
      </c>
      <c r="J125">
        <v>15</v>
      </c>
      <c r="K125">
        <f>J125*1.255082</f>
        <v>18.826229999999999</v>
      </c>
      <c r="L125">
        <f>C125+D125+E125+F125+G125+I125+K125</f>
        <v>80.787896666666668</v>
      </c>
    </row>
    <row r="126" spans="1:12" x14ac:dyDescent="0.3">
      <c r="A126">
        <v>230477</v>
      </c>
      <c r="B126" t="s">
        <v>84</v>
      </c>
      <c r="C126">
        <v>20</v>
      </c>
      <c r="D126">
        <v>22.75</v>
      </c>
      <c r="E126">
        <v>18.5</v>
      </c>
      <c r="F126">
        <v>0</v>
      </c>
      <c r="G126">
        <v>19.5</v>
      </c>
      <c r="H126">
        <v>0</v>
      </c>
      <c r="I126">
        <f>H126*1.594388</f>
        <v>0</v>
      </c>
      <c r="J126">
        <v>0</v>
      </c>
      <c r="K126">
        <f>J126*1.255082</f>
        <v>0</v>
      </c>
      <c r="L126">
        <f>C126+D126+E126+F126+G126+I126+K126</f>
        <v>80.75</v>
      </c>
    </row>
    <row r="127" spans="1:12" x14ac:dyDescent="0.3">
      <c r="A127">
        <v>230960</v>
      </c>
      <c r="B127" t="s">
        <v>166</v>
      </c>
      <c r="C127">
        <v>20</v>
      </c>
      <c r="D127">
        <v>23.75</v>
      </c>
      <c r="E127">
        <v>18.625</v>
      </c>
      <c r="F127">
        <v>0</v>
      </c>
      <c r="G127">
        <v>0</v>
      </c>
      <c r="H127">
        <v>11.5</v>
      </c>
      <c r="I127">
        <f>H127*1.594388</f>
        <v>18.335462</v>
      </c>
      <c r="J127">
        <v>0</v>
      </c>
      <c r="K127">
        <f>J127*1.255082</f>
        <v>0</v>
      </c>
      <c r="L127">
        <f>C127+D127+E127+F127+G127+I127+K127</f>
        <v>80.710462000000007</v>
      </c>
    </row>
    <row r="128" spans="1:12" x14ac:dyDescent="0.3">
      <c r="A128">
        <v>230903</v>
      </c>
      <c r="B128" t="s">
        <v>158</v>
      </c>
      <c r="C128">
        <v>20</v>
      </c>
      <c r="D128">
        <v>22.375</v>
      </c>
      <c r="E128">
        <v>19.208333333333332</v>
      </c>
      <c r="F128">
        <v>1.5</v>
      </c>
      <c r="G128">
        <v>17.5</v>
      </c>
      <c r="H128">
        <v>0</v>
      </c>
      <c r="I128">
        <f>H128*1.594388</f>
        <v>0</v>
      </c>
      <c r="J128">
        <v>0</v>
      </c>
      <c r="K128">
        <f>J128*1.255082</f>
        <v>0</v>
      </c>
      <c r="L128">
        <f>C128+D128+E128+F128+G128+I128+K128</f>
        <v>80.583333333333329</v>
      </c>
    </row>
    <row r="129" spans="1:12" x14ac:dyDescent="0.3">
      <c r="A129">
        <v>230085</v>
      </c>
      <c r="B129" t="s">
        <v>26</v>
      </c>
      <c r="C129">
        <v>17.170000000000002</v>
      </c>
      <c r="D129">
        <v>23.875</v>
      </c>
      <c r="E129">
        <v>19.5</v>
      </c>
      <c r="F129">
        <v>3</v>
      </c>
      <c r="G129">
        <v>17</v>
      </c>
      <c r="H129">
        <v>0</v>
      </c>
      <c r="I129">
        <f>H129*1.594388</f>
        <v>0</v>
      </c>
      <c r="J129">
        <v>0</v>
      </c>
      <c r="K129">
        <f>J129*1.255082</f>
        <v>0</v>
      </c>
      <c r="L129">
        <f>C129+D129+E129+F129+G129+I129+K129</f>
        <v>80.545000000000002</v>
      </c>
    </row>
    <row r="130" spans="1:12" x14ac:dyDescent="0.3">
      <c r="A130">
        <v>231022</v>
      </c>
      <c r="B130" t="s">
        <v>178</v>
      </c>
      <c r="C130">
        <v>19.57</v>
      </c>
      <c r="D130">
        <v>23.625</v>
      </c>
      <c r="E130">
        <v>15.375</v>
      </c>
      <c r="F130">
        <v>5</v>
      </c>
      <c r="G130">
        <v>0</v>
      </c>
      <c r="H130">
        <v>0</v>
      </c>
      <c r="I130">
        <f>H130*1.594388</f>
        <v>0</v>
      </c>
      <c r="J130">
        <v>13.5</v>
      </c>
      <c r="K130">
        <f>J130*1.255082</f>
        <v>16.943607</v>
      </c>
      <c r="L130">
        <f>C130+D130+E130+F130+G130+I130+K130</f>
        <v>80.513607000000007</v>
      </c>
    </row>
    <row r="131" spans="1:12" x14ac:dyDescent="0.3">
      <c r="A131">
        <v>231011</v>
      </c>
      <c r="B131" t="s">
        <v>174</v>
      </c>
      <c r="C131">
        <v>20</v>
      </c>
      <c r="D131">
        <v>24.625</v>
      </c>
      <c r="E131">
        <v>17.583333333333332</v>
      </c>
      <c r="F131">
        <v>3</v>
      </c>
      <c r="G131">
        <v>15</v>
      </c>
      <c r="H131">
        <v>0</v>
      </c>
      <c r="I131">
        <f>H131*1.594388</f>
        <v>0</v>
      </c>
      <c r="J131">
        <v>0</v>
      </c>
      <c r="K131">
        <f>J131*1.255082</f>
        <v>0</v>
      </c>
      <c r="L131">
        <f>C131+D131+E131+F131+G131+I131+K131</f>
        <v>80.208333333333329</v>
      </c>
    </row>
    <row r="132" spans="1:12" x14ac:dyDescent="0.3">
      <c r="A132">
        <v>230702</v>
      </c>
      <c r="B132" t="s">
        <v>126</v>
      </c>
      <c r="C132">
        <v>16.03</v>
      </c>
      <c r="D132">
        <v>22.375</v>
      </c>
      <c r="E132">
        <v>18.916666666666664</v>
      </c>
      <c r="F132">
        <v>1.5</v>
      </c>
      <c r="G132">
        <v>0</v>
      </c>
      <c r="H132">
        <v>0</v>
      </c>
      <c r="I132">
        <f>H132*1.594388</f>
        <v>0</v>
      </c>
      <c r="J132">
        <v>17</v>
      </c>
      <c r="K132">
        <f>J132*1.255082</f>
        <v>21.336394000000002</v>
      </c>
      <c r="L132">
        <f>C132+D132+E132+F132+G132+I132+K132</f>
        <v>80.158060666666671</v>
      </c>
    </row>
    <row r="133" spans="1:12" x14ac:dyDescent="0.3">
      <c r="A133">
        <v>230707</v>
      </c>
      <c r="B133" t="s">
        <v>127</v>
      </c>
      <c r="C133">
        <v>17.93</v>
      </c>
      <c r="D133">
        <v>20.75</v>
      </c>
      <c r="E133">
        <v>16.166666666666664</v>
      </c>
      <c r="F133">
        <v>0</v>
      </c>
      <c r="G133">
        <v>0</v>
      </c>
      <c r="H133">
        <v>16.5</v>
      </c>
      <c r="I133">
        <v>25</v>
      </c>
      <c r="J133">
        <v>0</v>
      </c>
      <c r="K133">
        <f>J133*1.255082</f>
        <v>0</v>
      </c>
      <c r="L133">
        <f>C133+D133+E133+F133+G133+I133+K133</f>
        <v>79.846666666666664</v>
      </c>
    </row>
    <row r="134" spans="1:12" x14ac:dyDescent="0.3">
      <c r="A134">
        <v>230482</v>
      </c>
      <c r="B134" t="s">
        <v>86</v>
      </c>
      <c r="C134">
        <v>20</v>
      </c>
      <c r="D134">
        <v>24.4375</v>
      </c>
      <c r="E134">
        <v>15.166666666666666</v>
      </c>
      <c r="F134">
        <v>5</v>
      </c>
      <c r="G134">
        <v>15</v>
      </c>
      <c r="H134">
        <v>0</v>
      </c>
      <c r="I134">
        <f>H134*1.594388</f>
        <v>0</v>
      </c>
      <c r="J134">
        <v>0</v>
      </c>
      <c r="K134">
        <f>J134*1.255082</f>
        <v>0</v>
      </c>
      <c r="L134">
        <f>C134+D134+E134+F134+G134+I134+K134</f>
        <v>79.604166666666657</v>
      </c>
    </row>
    <row r="135" spans="1:12" x14ac:dyDescent="0.3">
      <c r="A135">
        <v>230348</v>
      </c>
      <c r="B135" t="s">
        <v>68</v>
      </c>
      <c r="C135">
        <v>18.03</v>
      </c>
      <c r="D135">
        <v>22.75</v>
      </c>
      <c r="E135">
        <v>19.75</v>
      </c>
      <c r="F135">
        <v>1.5</v>
      </c>
      <c r="G135">
        <v>0</v>
      </c>
      <c r="H135">
        <v>11</v>
      </c>
      <c r="I135">
        <f>H135*1.594388</f>
        <v>17.538267999999999</v>
      </c>
      <c r="J135">
        <v>0</v>
      </c>
      <c r="K135">
        <f>J135*1.255082</f>
        <v>0</v>
      </c>
      <c r="L135">
        <f>C135+D135+E135+F135+G135+I135+K135</f>
        <v>79.568268000000003</v>
      </c>
    </row>
    <row r="136" spans="1:12" x14ac:dyDescent="0.3">
      <c r="A136">
        <v>230513</v>
      </c>
      <c r="B136" t="s">
        <v>95</v>
      </c>
      <c r="C136">
        <v>19.77</v>
      </c>
      <c r="D136">
        <v>24.25</v>
      </c>
      <c r="E136">
        <v>18</v>
      </c>
      <c r="F136">
        <v>3</v>
      </c>
      <c r="G136">
        <v>0</v>
      </c>
      <c r="H136">
        <v>9</v>
      </c>
      <c r="I136">
        <f>H136*1.594388</f>
        <v>14.349492</v>
      </c>
      <c r="J136">
        <v>0</v>
      </c>
      <c r="K136">
        <f>J136*1.255082</f>
        <v>0</v>
      </c>
      <c r="L136">
        <f>C136+D136+E136+F136+G136+I136+K136</f>
        <v>79.369491999999994</v>
      </c>
    </row>
    <row r="137" spans="1:12" x14ac:dyDescent="0.3">
      <c r="A137">
        <v>230260</v>
      </c>
      <c r="B137" t="s">
        <v>60</v>
      </c>
      <c r="C137">
        <v>16.899999999999999</v>
      </c>
      <c r="D137">
        <v>24.25</v>
      </c>
      <c r="E137">
        <v>21.458333333333332</v>
      </c>
      <c r="F137">
        <v>1.5</v>
      </c>
      <c r="G137">
        <v>0</v>
      </c>
      <c r="H137">
        <v>9.5</v>
      </c>
      <c r="I137">
        <f>H137*1.594388</f>
        <v>15.146685999999999</v>
      </c>
      <c r="J137">
        <v>0</v>
      </c>
      <c r="K137">
        <f>J137*1.255082</f>
        <v>0</v>
      </c>
      <c r="L137">
        <f>C137+D137+E137+F137+G137+I137+K137</f>
        <v>79.255019333333337</v>
      </c>
    </row>
    <row r="138" spans="1:12" x14ac:dyDescent="0.3">
      <c r="A138">
        <v>231142</v>
      </c>
      <c r="B138" t="s">
        <v>201</v>
      </c>
      <c r="C138">
        <v>20</v>
      </c>
      <c r="D138">
        <v>24.625</v>
      </c>
      <c r="E138">
        <v>20.125</v>
      </c>
      <c r="F138">
        <v>3</v>
      </c>
      <c r="G138">
        <v>0</v>
      </c>
      <c r="H138">
        <v>0</v>
      </c>
      <c r="I138">
        <f>H138*1.594388</f>
        <v>0</v>
      </c>
      <c r="J138">
        <v>9</v>
      </c>
      <c r="K138">
        <f>J138*1.255082</f>
        <v>11.295738</v>
      </c>
      <c r="L138">
        <f>C138+D138+E138+F138+G138+I138+K138</f>
        <v>79.045738</v>
      </c>
    </row>
    <row r="139" spans="1:12" x14ac:dyDescent="0.3">
      <c r="A139">
        <v>230343</v>
      </c>
      <c r="B139" t="s">
        <v>67</v>
      </c>
      <c r="C139">
        <v>18.670000000000002</v>
      </c>
      <c r="D139">
        <v>24</v>
      </c>
      <c r="E139">
        <v>19.666666666666668</v>
      </c>
      <c r="F139">
        <v>1.5</v>
      </c>
      <c r="G139">
        <v>0</v>
      </c>
      <c r="H139">
        <v>9.5</v>
      </c>
      <c r="I139">
        <f>H139*1.594388</f>
        <v>15.146685999999999</v>
      </c>
      <c r="J139">
        <v>0</v>
      </c>
      <c r="K139">
        <f>J139*1.255082</f>
        <v>0</v>
      </c>
      <c r="L139">
        <f>C139+D139+E139+F139+G139+I139+K139</f>
        <v>78.983352666666676</v>
      </c>
    </row>
    <row r="140" spans="1:12" x14ac:dyDescent="0.3">
      <c r="A140">
        <v>231082</v>
      </c>
      <c r="B140" t="s">
        <v>187</v>
      </c>
      <c r="C140">
        <v>17.37</v>
      </c>
      <c r="D140">
        <v>24.75</v>
      </c>
      <c r="E140">
        <v>17.458333333333336</v>
      </c>
      <c r="F140">
        <v>0.5</v>
      </c>
      <c r="G140">
        <v>0</v>
      </c>
      <c r="H140">
        <v>0</v>
      </c>
      <c r="I140">
        <f>H140*1.594388</f>
        <v>0</v>
      </c>
      <c r="J140">
        <v>15</v>
      </c>
      <c r="K140">
        <f>J140*1.255082</f>
        <v>18.826229999999999</v>
      </c>
      <c r="L140">
        <f>C140+D140+E140+F140+G140+I140+K140</f>
        <v>78.904563333333343</v>
      </c>
    </row>
    <row r="141" spans="1:12" x14ac:dyDescent="0.3">
      <c r="A141">
        <v>230395</v>
      </c>
      <c r="B141" t="s">
        <v>72</v>
      </c>
      <c r="C141">
        <v>13.27</v>
      </c>
      <c r="D141">
        <v>23.375</v>
      </c>
      <c r="E141">
        <v>19.583333333333332</v>
      </c>
      <c r="F141">
        <v>1.5</v>
      </c>
      <c r="G141">
        <v>0</v>
      </c>
      <c r="H141">
        <v>13</v>
      </c>
      <c r="I141">
        <f>H141*1.594388</f>
        <v>20.727043999999999</v>
      </c>
      <c r="J141">
        <v>0</v>
      </c>
      <c r="K141">
        <f>J141*1.255082</f>
        <v>0</v>
      </c>
      <c r="L141">
        <f>C141+D141+E141+F141+G141+I141+K141</f>
        <v>78.455377333333331</v>
      </c>
    </row>
    <row r="142" spans="1:12" x14ac:dyDescent="0.3">
      <c r="A142">
        <v>230269</v>
      </c>
      <c r="B142" t="s">
        <v>61</v>
      </c>
      <c r="C142">
        <v>14.27</v>
      </c>
      <c r="D142">
        <v>24.125</v>
      </c>
      <c r="E142">
        <v>19.166666666666668</v>
      </c>
      <c r="F142">
        <v>2.5</v>
      </c>
      <c r="G142">
        <v>0</v>
      </c>
      <c r="H142">
        <v>11.5</v>
      </c>
      <c r="I142">
        <f>H142*1.594388</f>
        <v>18.335462</v>
      </c>
      <c r="J142">
        <v>0</v>
      </c>
      <c r="K142">
        <f>J142*1.255082</f>
        <v>0</v>
      </c>
      <c r="L142">
        <f>C142+D142+E142+F142+G142+I142+K142</f>
        <v>78.397128666666674</v>
      </c>
    </row>
    <row r="143" spans="1:12" x14ac:dyDescent="0.3">
      <c r="A143">
        <v>230533</v>
      </c>
      <c r="B143" t="s">
        <v>97</v>
      </c>
      <c r="C143">
        <v>17.3</v>
      </c>
      <c r="D143">
        <v>24.375</v>
      </c>
      <c r="E143">
        <v>16.083333333333336</v>
      </c>
      <c r="F143">
        <v>1.5</v>
      </c>
      <c r="G143">
        <v>0</v>
      </c>
      <c r="H143">
        <v>12</v>
      </c>
      <c r="I143">
        <f>H143*1.594388</f>
        <v>19.132655999999997</v>
      </c>
      <c r="J143">
        <v>0</v>
      </c>
      <c r="K143">
        <f>J143*1.255082</f>
        <v>0</v>
      </c>
      <c r="L143">
        <f>C143+D143+E143+F143+G143+I143+K143</f>
        <v>78.390989333333323</v>
      </c>
    </row>
    <row r="144" spans="1:12" x14ac:dyDescent="0.3">
      <c r="A144">
        <v>230233</v>
      </c>
      <c r="B144" t="s">
        <v>53</v>
      </c>
      <c r="C144">
        <v>15.67</v>
      </c>
      <c r="D144">
        <v>23.5</v>
      </c>
      <c r="E144">
        <v>18.25</v>
      </c>
      <c r="F144">
        <v>1.5</v>
      </c>
      <c r="G144">
        <v>0</v>
      </c>
      <c r="H144">
        <v>0</v>
      </c>
      <c r="I144">
        <f>H144*1.594388</f>
        <v>0</v>
      </c>
      <c r="J144">
        <v>15.5</v>
      </c>
      <c r="K144">
        <f>J144*1.255082</f>
        <v>19.453771</v>
      </c>
      <c r="L144">
        <f>C144+D144+E144+F144+G144+I144+K144</f>
        <v>78.373771000000005</v>
      </c>
    </row>
    <row r="145" spans="1:13" x14ac:dyDescent="0.3">
      <c r="A145">
        <v>230053</v>
      </c>
      <c r="B145" t="s">
        <v>22</v>
      </c>
      <c r="C145">
        <v>20</v>
      </c>
      <c r="D145">
        <v>24.875</v>
      </c>
      <c r="E145">
        <v>19.583333333333332</v>
      </c>
      <c r="F145">
        <v>3</v>
      </c>
      <c r="G145">
        <v>0</v>
      </c>
      <c r="H145">
        <v>0</v>
      </c>
      <c r="I145">
        <f>H145*1.594388</f>
        <v>0</v>
      </c>
      <c r="J145">
        <v>8.5</v>
      </c>
      <c r="K145">
        <f>J145*1.255082</f>
        <v>10.668197000000001</v>
      </c>
      <c r="L145">
        <f>C145+D145+E145+F145+G145+I145+K145</f>
        <v>78.126530333333335</v>
      </c>
    </row>
    <row r="146" spans="1:13" x14ac:dyDescent="0.3">
      <c r="A146">
        <v>230929</v>
      </c>
      <c r="B146" t="s">
        <v>160</v>
      </c>
      <c r="C146">
        <v>16.670000000000002</v>
      </c>
      <c r="D146">
        <v>22.625</v>
      </c>
      <c r="E146">
        <v>18.625</v>
      </c>
      <c r="F146">
        <v>0</v>
      </c>
      <c r="G146">
        <v>20</v>
      </c>
      <c r="H146">
        <v>0</v>
      </c>
      <c r="I146">
        <f>H146*1.594388</f>
        <v>0</v>
      </c>
      <c r="J146">
        <v>0</v>
      </c>
      <c r="K146">
        <f>J146*1.255082</f>
        <v>0</v>
      </c>
      <c r="L146">
        <f>C146+D146+E146+F146+G146+I146+K146</f>
        <v>77.92</v>
      </c>
    </row>
    <row r="147" spans="1:13" x14ac:dyDescent="0.3">
      <c r="A147">
        <v>230552</v>
      </c>
      <c r="B147" t="s">
        <v>102</v>
      </c>
      <c r="C147">
        <v>20</v>
      </c>
      <c r="D147">
        <v>24.25</v>
      </c>
      <c r="E147">
        <v>18.25</v>
      </c>
      <c r="F147">
        <v>1.5</v>
      </c>
      <c r="G147">
        <v>0</v>
      </c>
      <c r="H147">
        <v>0</v>
      </c>
      <c r="I147">
        <f>H147*1.594388</f>
        <v>0</v>
      </c>
      <c r="J147">
        <v>11</v>
      </c>
      <c r="K147">
        <f>J147*1.255082</f>
        <v>13.805902</v>
      </c>
      <c r="L147">
        <f>C147+D147+E147+F147+G147+I147+K147</f>
        <v>77.805902000000003</v>
      </c>
    </row>
    <row r="148" spans="1:13" x14ac:dyDescent="0.3">
      <c r="A148">
        <v>230465</v>
      </c>
      <c r="B148" t="s">
        <v>83</v>
      </c>
      <c r="C148">
        <v>18.93</v>
      </c>
      <c r="D148">
        <v>24.75</v>
      </c>
      <c r="E148">
        <v>12.75</v>
      </c>
      <c r="F148">
        <v>1.5</v>
      </c>
      <c r="G148">
        <v>0</v>
      </c>
      <c r="H148">
        <v>12</v>
      </c>
      <c r="I148">
        <f>H148*1.594388</f>
        <v>19.132655999999997</v>
      </c>
      <c r="J148">
        <v>0</v>
      </c>
      <c r="K148">
        <f>J148*1.255082</f>
        <v>0</v>
      </c>
      <c r="L148">
        <f>C148+D148+E148+F148+G148+I148+K148</f>
        <v>77.062656000000004</v>
      </c>
    </row>
    <row r="149" spans="1:13" x14ac:dyDescent="0.3">
      <c r="A149">
        <v>230613</v>
      </c>
      <c r="B149" t="s">
        <v>113</v>
      </c>
      <c r="C149">
        <v>19.87</v>
      </c>
      <c r="D149">
        <v>23.5</v>
      </c>
      <c r="E149">
        <v>16.5</v>
      </c>
      <c r="F149">
        <v>1.5</v>
      </c>
      <c r="G149">
        <v>0</v>
      </c>
      <c r="H149">
        <v>0</v>
      </c>
      <c r="I149">
        <f>H149*1.594388</f>
        <v>0</v>
      </c>
      <c r="J149">
        <v>12</v>
      </c>
      <c r="K149">
        <f>J149*1.255082</f>
        <v>15.060984000000001</v>
      </c>
      <c r="L149">
        <f>C149+D149+E149+F149+G149+I149+K149</f>
        <v>76.430984000000009</v>
      </c>
    </row>
    <row r="150" spans="1:13" x14ac:dyDescent="0.3">
      <c r="A150">
        <v>210686</v>
      </c>
      <c r="B150" t="s">
        <v>8</v>
      </c>
      <c r="C150">
        <v>20</v>
      </c>
      <c r="D150">
        <v>23.375</v>
      </c>
      <c r="E150">
        <v>11.916666666666666</v>
      </c>
      <c r="F150">
        <v>4</v>
      </c>
      <c r="G150">
        <v>17</v>
      </c>
      <c r="H150">
        <v>0</v>
      </c>
      <c r="I150">
        <f>H150*1.594388</f>
        <v>0</v>
      </c>
      <c r="J150">
        <v>0</v>
      </c>
      <c r="K150">
        <f>J150*1.255082</f>
        <v>0</v>
      </c>
      <c r="L150">
        <f>C150+D150+E150+F150+G150+I150+K150</f>
        <v>76.291666666666657</v>
      </c>
    </row>
    <row r="151" spans="1:13" x14ac:dyDescent="0.3">
      <c r="A151">
        <v>230418</v>
      </c>
      <c r="B151" t="s">
        <v>76</v>
      </c>
      <c r="C151">
        <v>19.73</v>
      </c>
      <c r="D151">
        <v>24.375</v>
      </c>
      <c r="E151">
        <v>19.583333333333332</v>
      </c>
      <c r="F151">
        <v>0</v>
      </c>
      <c r="G151">
        <v>0</v>
      </c>
      <c r="H151">
        <v>0</v>
      </c>
      <c r="I151">
        <f>H151*1.594388</f>
        <v>0</v>
      </c>
      <c r="J151">
        <v>10</v>
      </c>
      <c r="K151">
        <f>J151*1.255082</f>
        <v>12.55082</v>
      </c>
      <c r="L151">
        <f>C151+D151+E151+F151+G151+I151+K151</f>
        <v>76.239153333333334</v>
      </c>
    </row>
    <row r="152" spans="1:13" x14ac:dyDescent="0.3">
      <c r="A152">
        <v>230456</v>
      </c>
      <c r="B152" t="s">
        <v>81</v>
      </c>
      <c r="C152">
        <v>20</v>
      </c>
      <c r="D152">
        <v>24.375</v>
      </c>
      <c r="E152">
        <v>20.25</v>
      </c>
      <c r="F152">
        <v>3.5</v>
      </c>
      <c r="G152">
        <v>0</v>
      </c>
      <c r="H152">
        <v>5</v>
      </c>
      <c r="I152">
        <f>H152*1.594388</f>
        <v>7.97194</v>
      </c>
      <c r="J152">
        <v>0</v>
      </c>
      <c r="K152">
        <f>J152*1.255082</f>
        <v>0</v>
      </c>
      <c r="L152">
        <f>C152+D152+E152+F152+G152+I152+K152</f>
        <v>76.096940000000004</v>
      </c>
    </row>
    <row r="153" spans="1:13" x14ac:dyDescent="0.3">
      <c r="A153">
        <v>230495</v>
      </c>
      <c r="B153" t="s">
        <v>90</v>
      </c>
      <c r="C153">
        <v>19.329999999999998</v>
      </c>
      <c r="D153">
        <v>18.375</v>
      </c>
      <c r="E153">
        <v>14.5</v>
      </c>
      <c r="F153">
        <v>5</v>
      </c>
      <c r="G153">
        <v>0</v>
      </c>
      <c r="H153">
        <v>0</v>
      </c>
      <c r="I153">
        <f>H153*1.594388</f>
        <v>0</v>
      </c>
      <c r="J153">
        <v>15</v>
      </c>
      <c r="K153">
        <f>J153*1.255082</f>
        <v>18.826229999999999</v>
      </c>
      <c r="L153">
        <f>C153+D153+E153+F153+G153+I153+K153</f>
        <v>76.031229999999994</v>
      </c>
    </row>
    <row r="154" spans="1:13" x14ac:dyDescent="0.3">
      <c r="A154">
        <v>231098</v>
      </c>
      <c r="B154" t="s">
        <v>191</v>
      </c>
      <c r="C154">
        <v>19.96</v>
      </c>
      <c r="D154">
        <v>25</v>
      </c>
      <c r="E154">
        <v>15.583333333333334</v>
      </c>
      <c r="F154">
        <v>1.5</v>
      </c>
      <c r="G154">
        <v>0</v>
      </c>
      <c r="H154">
        <v>0</v>
      </c>
      <c r="I154">
        <f>H154*1.594388</f>
        <v>0</v>
      </c>
      <c r="J154">
        <v>11</v>
      </c>
      <c r="K154">
        <f>J154*1.255082</f>
        <v>13.805902</v>
      </c>
      <c r="L154">
        <f>C154+D154+E154+F154+G154+I154+K154</f>
        <v>75.84923533333334</v>
      </c>
    </row>
    <row r="155" spans="1:13" s="3" customFormat="1" x14ac:dyDescent="0.3">
      <c r="A155">
        <v>231117</v>
      </c>
      <c r="B155" t="s">
        <v>195</v>
      </c>
      <c r="C155">
        <v>20</v>
      </c>
      <c r="D155">
        <v>22.25</v>
      </c>
      <c r="E155">
        <v>15.083333333333334</v>
      </c>
      <c r="F155">
        <v>1.5</v>
      </c>
      <c r="G155">
        <v>17</v>
      </c>
      <c r="H155">
        <v>0</v>
      </c>
      <c r="I155">
        <f>H155*1.594388</f>
        <v>0</v>
      </c>
      <c r="J155">
        <v>0</v>
      </c>
      <c r="K155">
        <f>J155*1.255082</f>
        <v>0</v>
      </c>
      <c r="L155">
        <f>C155+D155+E155+F155+G155+I155+K155</f>
        <v>75.833333333333343</v>
      </c>
      <c r="M155"/>
    </row>
    <row r="156" spans="1:13" x14ac:dyDescent="0.3">
      <c r="A156">
        <v>230075</v>
      </c>
      <c r="B156" t="s">
        <v>25</v>
      </c>
      <c r="C156">
        <v>20</v>
      </c>
      <c r="D156">
        <v>23.75</v>
      </c>
      <c r="E156">
        <v>20.916666666666668</v>
      </c>
      <c r="F156">
        <v>0</v>
      </c>
      <c r="G156">
        <v>0</v>
      </c>
      <c r="H156">
        <v>7</v>
      </c>
      <c r="I156">
        <f>H156*1.594388</f>
        <v>11.160715999999999</v>
      </c>
      <c r="J156">
        <v>0</v>
      </c>
      <c r="K156">
        <f>J156*1.255082</f>
        <v>0</v>
      </c>
      <c r="L156">
        <f>C156+D156+E156+F156+G156+I156+K156</f>
        <v>75.827382666666665</v>
      </c>
    </row>
    <row r="157" spans="1:13" x14ac:dyDescent="0.3">
      <c r="A157">
        <v>230833</v>
      </c>
      <c r="B157" t="s">
        <v>146</v>
      </c>
      <c r="C157">
        <v>16.2</v>
      </c>
      <c r="D157">
        <v>23.25</v>
      </c>
      <c r="E157">
        <v>19.291666666666664</v>
      </c>
      <c r="F157">
        <v>0</v>
      </c>
      <c r="G157">
        <v>0</v>
      </c>
      <c r="H157">
        <v>0</v>
      </c>
      <c r="I157">
        <f>H157*1.594388</f>
        <v>0</v>
      </c>
      <c r="J157">
        <v>13.5</v>
      </c>
      <c r="K157">
        <f>J157*1.255082</f>
        <v>16.943607</v>
      </c>
      <c r="L157">
        <f>C157+D157+E157+F157+G157+I157+K157</f>
        <v>75.68527366666666</v>
      </c>
    </row>
    <row r="158" spans="1:13" x14ac:dyDescent="0.3">
      <c r="A158">
        <v>230696</v>
      </c>
      <c r="B158" t="s">
        <v>124</v>
      </c>
      <c r="C158">
        <v>20</v>
      </c>
      <c r="D158">
        <v>23.25</v>
      </c>
      <c r="E158">
        <v>18.166666666666664</v>
      </c>
      <c r="F158">
        <v>1.5</v>
      </c>
      <c r="G158">
        <v>12.5</v>
      </c>
      <c r="H158">
        <v>0</v>
      </c>
      <c r="I158">
        <f>H158*1.594388</f>
        <v>0</v>
      </c>
      <c r="J158">
        <v>0</v>
      </c>
      <c r="K158">
        <f>J158*1.255082</f>
        <v>0</v>
      </c>
      <c r="L158">
        <f>C158+D158+E158+F158+G158+I158+K158</f>
        <v>75.416666666666657</v>
      </c>
    </row>
    <row r="159" spans="1:13" x14ac:dyDescent="0.3">
      <c r="A159">
        <v>230594</v>
      </c>
      <c r="B159" t="s">
        <v>112</v>
      </c>
      <c r="C159">
        <v>19.7</v>
      </c>
      <c r="D159">
        <v>23.375</v>
      </c>
      <c r="E159">
        <v>17.333333333333336</v>
      </c>
      <c r="F159">
        <v>3.5</v>
      </c>
      <c r="G159">
        <v>0</v>
      </c>
      <c r="H159">
        <v>0</v>
      </c>
      <c r="I159">
        <f>H159*1.594388</f>
        <v>0</v>
      </c>
      <c r="J159">
        <v>9</v>
      </c>
      <c r="K159">
        <f>J159*1.255082</f>
        <v>11.295738</v>
      </c>
      <c r="L159">
        <f>C159+D159+E159+F159+G159+I159+K159</f>
        <v>75.204071333333331</v>
      </c>
    </row>
    <row r="160" spans="1:13" x14ac:dyDescent="0.3">
      <c r="A160">
        <v>230839</v>
      </c>
      <c r="B160" t="s">
        <v>148</v>
      </c>
      <c r="C160">
        <v>17.829999999999998</v>
      </c>
      <c r="D160">
        <v>24.375</v>
      </c>
      <c r="E160">
        <v>13.666666666666666</v>
      </c>
      <c r="F160">
        <v>1.5</v>
      </c>
      <c r="G160">
        <v>0</v>
      </c>
      <c r="H160">
        <v>0</v>
      </c>
      <c r="I160">
        <f>H160*1.594388</f>
        <v>0</v>
      </c>
      <c r="J160">
        <v>14</v>
      </c>
      <c r="K160">
        <f>J160*1.255082</f>
        <v>17.571148000000001</v>
      </c>
      <c r="L160">
        <f>C160+D160+E160+F160+G160+I160+K160</f>
        <v>74.942814666666663</v>
      </c>
    </row>
    <row r="161" spans="1:13" x14ac:dyDescent="0.3">
      <c r="A161" s="2">
        <v>210046</v>
      </c>
      <c r="B161" s="2" t="s">
        <v>3</v>
      </c>
      <c r="C161" s="2">
        <v>20</v>
      </c>
      <c r="D161" s="2">
        <v>23.875</v>
      </c>
      <c r="E161" s="2">
        <v>0</v>
      </c>
      <c r="F161" s="2">
        <v>5</v>
      </c>
      <c r="G161" s="2">
        <v>0</v>
      </c>
      <c r="H161" s="2">
        <v>23.5</v>
      </c>
      <c r="I161" s="2">
        <v>25</v>
      </c>
      <c r="J161" s="2">
        <v>0</v>
      </c>
      <c r="K161" s="2">
        <f>J161*1.255082</f>
        <v>0</v>
      </c>
      <c r="L161" s="2">
        <f>C161+D161+E161+F161+G161+I161+K161</f>
        <v>73.875</v>
      </c>
      <c r="M161" s="2">
        <f>L161*1.33333333</f>
        <v>98.499999753750004</v>
      </c>
    </row>
    <row r="162" spans="1:13" x14ac:dyDescent="0.3">
      <c r="A162">
        <v>231107</v>
      </c>
      <c r="B162" t="s">
        <v>192</v>
      </c>
      <c r="C162">
        <v>15.77</v>
      </c>
      <c r="D162">
        <v>18</v>
      </c>
      <c r="E162">
        <v>14.916666666666666</v>
      </c>
      <c r="F162">
        <v>0</v>
      </c>
      <c r="G162">
        <v>0</v>
      </c>
      <c r="H162">
        <v>16</v>
      </c>
      <c r="I162">
        <v>25</v>
      </c>
      <c r="J162">
        <v>0</v>
      </c>
      <c r="K162">
        <f>J162*1.255082</f>
        <v>0</v>
      </c>
      <c r="L162">
        <f>C162+D162+E162+F162+G162+I162+K162</f>
        <v>73.686666666666667</v>
      </c>
    </row>
    <row r="163" spans="1:13" x14ac:dyDescent="0.3">
      <c r="A163">
        <v>230169</v>
      </c>
      <c r="B163" t="s">
        <v>43</v>
      </c>
      <c r="C163">
        <v>20</v>
      </c>
      <c r="D163">
        <v>24.25</v>
      </c>
      <c r="E163">
        <v>16.666666666666664</v>
      </c>
      <c r="F163">
        <v>0</v>
      </c>
      <c r="G163">
        <v>0</v>
      </c>
      <c r="H163">
        <v>0</v>
      </c>
      <c r="I163">
        <f>H163*1.594388</f>
        <v>0</v>
      </c>
      <c r="J163">
        <v>10</v>
      </c>
      <c r="K163">
        <f>J163*1.255082</f>
        <v>12.55082</v>
      </c>
      <c r="L163">
        <f>C163+D163+E163+F163+G163+I163+K163</f>
        <v>73.467486666666659</v>
      </c>
    </row>
    <row r="164" spans="1:13" x14ac:dyDescent="0.3">
      <c r="A164">
        <v>230724</v>
      </c>
      <c r="B164" t="s">
        <v>131</v>
      </c>
      <c r="C164">
        <v>16.8</v>
      </c>
      <c r="D164">
        <v>23.75</v>
      </c>
      <c r="E164">
        <v>15</v>
      </c>
      <c r="F164">
        <v>1</v>
      </c>
      <c r="G164">
        <v>0</v>
      </c>
      <c r="H164">
        <v>10.5</v>
      </c>
      <c r="I164">
        <f>H164*1.594388</f>
        <v>16.741073999999998</v>
      </c>
      <c r="J164">
        <v>0</v>
      </c>
      <c r="K164">
        <f>J164*1.255082</f>
        <v>0</v>
      </c>
      <c r="L164">
        <f>C164+D164+E164+F164+G164+I164+K164</f>
        <v>73.291073999999995</v>
      </c>
    </row>
    <row r="165" spans="1:13" x14ac:dyDescent="0.3">
      <c r="A165">
        <v>230237</v>
      </c>
      <c r="B165" t="s">
        <v>55</v>
      </c>
      <c r="C165">
        <v>16.329999999999998</v>
      </c>
      <c r="D165">
        <v>23.375</v>
      </c>
      <c r="E165">
        <v>14.916666666666666</v>
      </c>
      <c r="F165">
        <v>4.5</v>
      </c>
      <c r="G165">
        <v>0</v>
      </c>
      <c r="H165">
        <v>0</v>
      </c>
      <c r="I165">
        <f>H165*1.594388</f>
        <v>0</v>
      </c>
      <c r="J165">
        <v>11</v>
      </c>
      <c r="K165">
        <f>J165*1.255082</f>
        <v>13.805902</v>
      </c>
      <c r="L165">
        <f>C165+D165+E165+F165+G165+I165+K165</f>
        <v>72.927568666666659</v>
      </c>
    </row>
    <row r="166" spans="1:13" x14ac:dyDescent="0.3">
      <c r="A166">
        <v>230171</v>
      </c>
      <c r="B166" t="s">
        <v>44</v>
      </c>
      <c r="C166">
        <v>20</v>
      </c>
      <c r="D166">
        <v>24.5</v>
      </c>
      <c r="E166">
        <v>15.700000000000001</v>
      </c>
      <c r="F166">
        <v>0</v>
      </c>
      <c r="G166">
        <v>0</v>
      </c>
      <c r="H166">
        <v>0</v>
      </c>
      <c r="I166">
        <f>H166*1.594388</f>
        <v>0</v>
      </c>
      <c r="J166">
        <v>10</v>
      </c>
      <c r="K166">
        <f>J166*1.255082</f>
        <v>12.55082</v>
      </c>
      <c r="L166">
        <f>C166+D166+E166+F166+G166+I166+K166</f>
        <v>72.750820000000004</v>
      </c>
    </row>
    <row r="167" spans="1:13" x14ac:dyDescent="0.3">
      <c r="A167">
        <v>230231</v>
      </c>
      <c r="B167" t="s">
        <v>52</v>
      </c>
      <c r="C167">
        <v>20</v>
      </c>
      <c r="D167">
        <v>24</v>
      </c>
      <c r="E167">
        <v>20.75</v>
      </c>
      <c r="F167">
        <v>4</v>
      </c>
      <c r="G167">
        <v>0</v>
      </c>
      <c r="H167">
        <v>2.5</v>
      </c>
      <c r="I167">
        <f>H167*1.594388</f>
        <v>3.98597</v>
      </c>
      <c r="J167">
        <v>0</v>
      </c>
      <c r="K167">
        <f>J167*1.255082</f>
        <v>0</v>
      </c>
      <c r="L167">
        <f>C167+D167+E167+F167+G167+I167+K167</f>
        <v>72.735969999999995</v>
      </c>
    </row>
    <row r="168" spans="1:13" x14ac:dyDescent="0.3">
      <c r="A168">
        <v>230363</v>
      </c>
      <c r="B168" t="s">
        <v>70</v>
      </c>
      <c r="C168">
        <v>20</v>
      </c>
      <c r="D168">
        <v>24.25</v>
      </c>
      <c r="E168">
        <v>16.833333333333332</v>
      </c>
      <c r="F168">
        <v>1.5</v>
      </c>
      <c r="G168">
        <v>0</v>
      </c>
      <c r="H168">
        <v>0</v>
      </c>
      <c r="I168">
        <f>H168*1.594388</f>
        <v>0</v>
      </c>
      <c r="J168">
        <v>8</v>
      </c>
      <c r="K168">
        <f>J168*1.255082</f>
        <v>10.040656</v>
      </c>
      <c r="L168">
        <f>C168+D168+E168+F168+G168+I168+K168</f>
        <v>72.623989333333327</v>
      </c>
    </row>
    <row r="169" spans="1:13" x14ac:dyDescent="0.3">
      <c r="A169">
        <v>230506</v>
      </c>
      <c r="B169" t="s">
        <v>92</v>
      </c>
      <c r="C169">
        <v>16.73</v>
      </c>
      <c r="D169">
        <v>24.375</v>
      </c>
      <c r="E169">
        <v>22</v>
      </c>
      <c r="F169">
        <v>0</v>
      </c>
      <c r="G169">
        <v>0</v>
      </c>
      <c r="H169">
        <v>0</v>
      </c>
      <c r="I169">
        <f>H169*1.594388</f>
        <v>0</v>
      </c>
      <c r="J169">
        <v>7.5</v>
      </c>
      <c r="K169">
        <f>J169*1.255082</f>
        <v>9.4131149999999995</v>
      </c>
      <c r="L169">
        <f>C169+D169+E169+F169+G169+I169+K169</f>
        <v>72.518115000000009</v>
      </c>
    </row>
    <row r="170" spans="1:13" x14ac:dyDescent="0.3">
      <c r="A170">
        <v>231010</v>
      </c>
      <c r="B170" t="s">
        <v>173</v>
      </c>
      <c r="C170">
        <v>16.47</v>
      </c>
      <c r="D170">
        <v>23.625</v>
      </c>
      <c r="E170">
        <v>16.583333333333332</v>
      </c>
      <c r="F170">
        <v>3</v>
      </c>
      <c r="G170">
        <v>0</v>
      </c>
      <c r="H170">
        <v>8</v>
      </c>
      <c r="I170">
        <f>H170*1.594388</f>
        <v>12.755103999999999</v>
      </c>
      <c r="J170">
        <v>0</v>
      </c>
      <c r="K170">
        <f>J170*1.255082</f>
        <v>0</v>
      </c>
      <c r="L170">
        <f>C170+D170+E170+F170+G170+I170+K170</f>
        <v>72.43343733333333</v>
      </c>
    </row>
    <row r="171" spans="1:13" x14ac:dyDescent="0.3">
      <c r="A171" s="2">
        <v>211161</v>
      </c>
      <c r="B171" s="2" t="s">
        <v>13</v>
      </c>
      <c r="C171" s="2">
        <v>20</v>
      </c>
      <c r="D171" s="2">
        <v>23.875</v>
      </c>
      <c r="E171" s="2">
        <v>0</v>
      </c>
      <c r="F171" s="2">
        <v>3.5</v>
      </c>
      <c r="G171" s="2">
        <v>0</v>
      </c>
      <c r="H171" s="2">
        <v>0</v>
      </c>
      <c r="I171" s="2">
        <f>H171*1.594388</f>
        <v>0</v>
      </c>
      <c r="J171" s="2">
        <v>23</v>
      </c>
      <c r="K171" s="2">
        <v>25</v>
      </c>
      <c r="L171" s="2">
        <f>C171+D171+E171+F171+G171+I171+K171</f>
        <v>72.375</v>
      </c>
      <c r="M171" s="2">
        <f>L171*1.33333333</f>
        <v>96.499999758750008</v>
      </c>
    </row>
    <row r="172" spans="1:13" x14ac:dyDescent="0.3">
      <c r="A172">
        <v>230202</v>
      </c>
      <c r="B172" t="s">
        <v>50</v>
      </c>
      <c r="C172">
        <v>20</v>
      </c>
      <c r="D172">
        <v>24.25</v>
      </c>
      <c r="E172">
        <v>16.666666666666668</v>
      </c>
      <c r="F172">
        <v>2</v>
      </c>
      <c r="G172">
        <v>0</v>
      </c>
      <c r="H172">
        <v>0</v>
      </c>
      <c r="I172">
        <f>H172*1.594388</f>
        <v>0</v>
      </c>
      <c r="J172">
        <v>7.5</v>
      </c>
      <c r="K172">
        <f>J172*1.255082</f>
        <v>9.4131149999999995</v>
      </c>
      <c r="L172">
        <f>C172+D172+E172+F172+G172+I172+K172</f>
        <v>72.329781666666676</v>
      </c>
    </row>
    <row r="173" spans="1:13" x14ac:dyDescent="0.3">
      <c r="A173">
        <v>230790</v>
      </c>
      <c r="B173" t="s">
        <v>142</v>
      </c>
      <c r="C173">
        <v>15.5</v>
      </c>
      <c r="D173">
        <v>23.75</v>
      </c>
      <c r="E173">
        <v>15.333333333333334</v>
      </c>
      <c r="F173">
        <v>1.5</v>
      </c>
      <c r="G173">
        <v>0</v>
      </c>
      <c r="H173">
        <v>10</v>
      </c>
      <c r="I173">
        <f>H173*1.594388</f>
        <v>15.94388</v>
      </c>
      <c r="J173">
        <v>0</v>
      </c>
      <c r="K173">
        <f>J173*1.255082</f>
        <v>0</v>
      </c>
      <c r="L173">
        <f>C173+D173+E173+F173+G173+I173+K173</f>
        <v>72.027213333333336</v>
      </c>
    </row>
    <row r="174" spans="1:13" x14ac:dyDescent="0.3">
      <c r="A174">
        <v>230972</v>
      </c>
      <c r="B174" t="s">
        <v>168</v>
      </c>
      <c r="C174">
        <v>18.18</v>
      </c>
      <c r="D174">
        <v>23.75</v>
      </c>
      <c r="E174">
        <v>17.083333333333336</v>
      </c>
      <c r="F174">
        <v>1.5</v>
      </c>
      <c r="G174">
        <v>11.5</v>
      </c>
      <c r="H174">
        <v>0</v>
      </c>
      <c r="I174">
        <f>H174*1.594388</f>
        <v>0</v>
      </c>
      <c r="J174">
        <v>0</v>
      </c>
      <c r="K174">
        <f>J174*1.255082</f>
        <v>0</v>
      </c>
      <c r="L174">
        <f>C174+D174+E174+F174+G174+I174+K174</f>
        <v>72.013333333333335</v>
      </c>
    </row>
    <row r="175" spans="1:13" x14ac:dyDescent="0.3">
      <c r="A175">
        <v>230539</v>
      </c>
      <c r="B175" t="s">
        <v>99</v>
      </c>
      <c r="C175">
        <v>9.1999999999999993</v>
      </c>
      <c r="D175">
        <v>23</v>
      </c>
      <c r="E175">
        <v>17.5</v>
      </c>
      <c r="F175">
        <v>3</v>
      </c>
      <c r="G175">
        <v>0</v>
      </c>
      <c r="H175">
        <v>12</v>
      </c>
      <c r="I175">
        <f>H175*1.594388</f>
        <v>19.132655999999997</v>
      </c>
      <c r="J175">
        <v>0</v>
      </c>
      <c r="K175">
        <f>J175*1.255082</f>
        <v>0</v>
      </c>
      <c r="L175">
        <f>C175+D175+E175+F175+G175+I175+K175</f>
        <v>71.832656</v>
      </c>
    </row>
    <row r="176" spans="1:13" x14ac:dyDescent="0.3">
      <c r="A176">
        <v>230740</v>
      </c>
      <c r="B176" t="s">
        <v>135</v>
      </c>
      <c r="C176">
        <v>19.63</v>
      </c>
      <c r="D176">
        <v>22.625</v>
      </c>
      <c r="E176">
        <v>13.833333333333334</v>
      </c>
      <c r="F176">
        <v>0</v>
      </c>
      <c r="G176">
        <v>0</v>
      </c>
      <c r="H176">
        <v>0</v>
      </c>
      <c r="I176">
        <f>H176*1.594388</f>
        <v>0</v>
      </c>
      <c r="J176">
        <v>12.5</v>
      </c>
      <c r="K176">
        <f>J176*1.255082</f>
        <v>15.688525</v>
      </c>
      <c r="L176">
        <f>C176+D176+E176+F176+G176+I176+K176</f>
        <v>71.776858333333337</v>
      </c>
    </row>
    <row r="177" spans="1:13" x14ac:dyDescent="0.3">
      <c r="A177">
        <v>230159</v>
      </c>
      <c r="B177" t="s">
        <v>41</v>
      </c>
      <c r="C177">
        <v>20</v>
      </c>
      <c r="D177">
        <v>23.625</v>
      </c>
      <c r="E177">
        <v>19.458333333333336</v>
      </c>
      <c r="F177">
        <v>3</v>
      </c>
      <c r="G177">
        <v>0</v>
      </c>
      <c r="H177">
        <v>3</v>
      </c>
      <c r="I177">
        <f>H177*1.594388</f>
        <v>4.7831639999999993</v>
      </c>
      <c r="J177">
        <v>0</v>
      </c>
      <c r="K177">
        <f>J177*1.255082</f>
        <v>0</v>
      </c>
      <c r="L177">
        <f>C177+D177+E177+F177+G177+I177+K177</f>
        <v>70.866497333333342</v>
      </c>
    </row>
    <row r="178" spans="1:13" x14ac:dyDescent="0.3">
      <c r="A178">
        <v>231151</v>
      </c>
      <c r="B178" t="s">
        <v>202</v>
      </c>
      <c r="C178">
        <v>20</v>
      </c>
      <c r="D178">
        <v>24.125</v>
      </c>
      <c r="E178">
        <v>16.166666666666664</v>
      </c>
      <c r="F178">
        <v>0.5</v>
      </c>
      <c r="G178">
        <v>0</v>
      </c>
      <c r="H178">
        <v>6</v>
      </c>
      <c r="I178">
        <f>H178*1.594388</f>
        <v>9.5663279999999986</v>
      </c>
      <c r="J178">
        <v>0</v>
      </c>
      <c r="K178">
        <f>J178*1.255082</f>
        <v>0</v>
      </c>
      <c r="L178">
        <f>C178+D178+E178+F178+G178+I178+K178</f>
        <v>70.357994666666656</v>
      </c>
    </row>
    <row r="179" spans="1:13" x14ac:dyDescent="0.3">
      <c r="A179">
        <v>231113</v>
      </c>
      <c r="B179" t="s">
        <v>194</v>
      </c>
      <c r="C179">
        <v>17.36</v>
      </c>
      <c r="D179">
        <v>23.625</v>
      </c>
      <c r="E179">
        <v>17.25</v>
      </c>
      <c r="F179">
        <v>5</v>
      </c>
      <c r="G179">
        <v>7</v>
      </c>
      <c r="H179">
        <v>0</v>
      </c>
      <c r="I179">
        <f>H179*1.594388</f>
        <v>0</v>
      </c>
      <c r="J179">
        <v>0</v>
      </c>
      <c r="K179">
        <f>J179*1.255082</f>
        <v>0</v>
      </c>
      <c r="L179">
        <f>C179+D179+E179+F179+G179+I179+K179</f>
        <v>70.234999999999999</v>
      </c>
    </row>
    <row r="180" spans="1:13" x14ac:dyDescent="0.3">
      <c r="A180">
        <v>211165</v>
      </c>
      <c r="B180" t="s">
        <v>14</v>
      </c>
      <c r="C180">
        <v>14.1</v>
      </c>
      <c r="D180">
        <v>24.625</v>
      </c>
      <c r="E180">
        <v>16.333333333333332</v>
      </c>
      <c r="F180">
        <v>0</v>
      </c>
      <c r="G180">
        <v>0</v>
      </c>
      <c r="H180">
        <v>0</v>
      </c>
      <c r="I180">
        <f>H180*1.594388</f>
        <v>0</v>
      </c>
      <c r="J180">
        <v>12</v>
      </c>
      <c r="K180">
        <f>J180*1.255082</f>
        <v>15.060984000000001</v>
      </c>
      <c r="L180">
        <f>C180+D180+E180+F180+G180+I180+K180</f>
        <v>70.119317333333342</v>
      </c>
    </row>
    <row r="181" spans="1:13" x14ac:dyDescent="0.3">
      <c r="A181">
        <v>230721</v>
      </c>
      <c r="B181" t="s">
        <v>130</v>
      </c>
      <c r="C181">
        <v>16.2</v>
      </c>
      <c r="D181">
        <v>24.375</v>
      </c>
      <c r="E181">
        <v>18.833333333333336</v>
      </c>
      <c r="F181">
        <v>1</v>
      </c>
      <c r="G181">
        <v>0</v>
      </c>
      <c r="H181">
        <v>0</v>
      </c>
      <c r="I181">
        <f>H181*1.594388</f>
        <v>0</v>
      </c>
      <c r="J181">
        <v>7.5</v>
      </c>
      <c r="K181">
        <f>J181*1.255082</f>
        <v>9.4131149999999995</v>
      </c>
      <c r="L181">
        <f>C181+D181+E181+F181+G181+I181+K181</f>
        <v>69.821448333333336</v>
      </c>
    </row>
    <row r="182" spans="1:13" x14ac:dyDescent="0.3">
      <c r="A182">
        <v>230026</v>
      </c>
      <c r="B182" t="s">
        <v>20</v>
      </c>
      <c r="C182">
        <v>13.73</v>
      </c>
      <c r="D182">
        <v>24.25</v>
      </c>
      <c r="E182">
        <v>15.583333333333334</v>
      </c>
      <c r="F182">
        <v>3</v>
      </c>
      <c r="G182">
        <v>0</v>
      </c>
      <c r="H182">
        <v>0</v>
      </c>
      <c r="I182">
        <f>H182*1.594388</f>
        <v>0</v>
      </c>
      <c r="J182">
        <v>10.5</v>
      </c>
      <c r="K182">
        <f>J182*1.255082</f>
        <v>13.178361000000001</v>
      </c>
      <c r="L182">
        <f>C182+D182+E182+F182+G182+I182+K182</f>
        <v>69.741694333333342</v>
      </c>
    </row>
    <row r="183" spans="1:13" x14ac:dyDescent="0.3">
      <c r="A183" s="2">
        <v>210953</v>
      </c>
      <c r="B183" s="2" t="s">
        <v>10</v>
      </c>
      <c r="C183" s="2">
        <v>0</v>
      </c>
      <c r="D183" s="2">
        <v>24.5</v>
      </c>
      <c r="E183" s="2">
        <v>20</v>
      </c>
      <c r="F183" s="2">
        <v>0</v>
      </c>
      <c r="G183" s="2">
        <v>0</v>
      </c>
      <c r="H183" s="2">
        <v>17</v>
      </c>
      <c r="I183" s="2">
        <v>25</v>
      </c>
      <c r="J183" s="2">
        <v>0</v>
      </c>
      <c r="K183" s="2">
        <f>J183*1.255082</f>
        <v>0</v>
      </c>
      <c r="L183" s="2">
        <f>C183+D183+E183+F183+G183+I183+K183</f>
        <v>69.5</v>
      </c>
      <c r="M183" s="2">
        <f>L183*1.33333333</f>
        <v>92.66666643500001</v>
      </c>
    </row>
    <row r="184" spans="1:13" x14ac:dyDescent="0.3">
      <c r="A184">
        <v>230327</v>
      </c>
      <c r="B184" t="s">
        <v>65</v>
      </c>
      <c r="C184">
        <v>19.23</v>
      </c>
      <c r="D184">
        <v>23.75</v>
      </c>
      <c r="E184">
        <v>16.708333333333332</v>
      </c>
      <c r="F184">
        <v>0</v>
      </c>
      <c r="G184">
        <v>0</v>
      </c>
      <c r="H184">
        <v>0</v>
      </c>
      <c r="I184">
        <f>H184*1.594388</f>
        <v>0</v>
      </c>
      <c r="J184">
        <v>7.5</v>
      </c>
      <c r="K184">
        <f>J184*1.255082</f>
        <v>9.4131149999999995</v>
      </c>
      <c r="L184">
        <f>C184+D184+E184+F184+G184+I184+K184</f>
        <v>69.101448333333337</v>
      </c>
    </row>
    <row r="185" spans="1:13" x14ac:dyDescent="0.3">
      <c r="A185" s="2">
        <v>210109</v>
      </c>
      <c r="B185" s="2" t="s">
        <v>4</v>
      </c>
      <c r="C185" s="2">
        <v>20</v>
      </c>
      <c r="D185" s="2">
        <v>22.25</v>
      </c>
      <c r="E185" s="2">
        <v>0</v>
      </c>
      <c r="F185" s="2">
        <v>1.5</v>
      </c>
      <c r="G185" s="2">
        <v>0</v>
      </c>
      <c r="H185" s="2">
        <v>16</v>
      </c>
      <c r="I185" s="2">
        <v>25</v>
      </c>
      <c r="J185" s="2">
        <v>0</v>
      </c>
      <c r="K185" s="2">
        <f>J185*1.255082</f>
        <v>0</v>
      </c>
      <c r="L185" s="2">
        <f>C185+D185+E185+F185+G185+I185+K185</f>
        <v>68.75</v>
      </c>
      <c r="M185" s="2">
        <f>L185*1.33333333</f>
        <v>91.666666437500012</v>
      </c>
    </row>
    <row r="186" spans="1:13" x14ac:dyDescent="0.3">
      <c r="A186">
        <v>231058</v>
      </c>
      <c r="B186" t="s">
        <v>184</v>
      </c>
      <c r="C186">
        <v>17.43</v>
      </c>
      <c r="D186">
        <v>23.625</v>
      </c>
      <c r="E186">
        <v>20.333333333333332</v>
      </c>
      <c r="F186">
        <v>0</v>
      </c>
      <c r="G186">
        <v>7</v>
      </c>
      <c r="H186">
        <v>0</v>
      </c>
      <c r="I186">
        <f>H186*1.594388</f>
        <v>0</v>
      </c>
      <c r="J186">
        <v>0</v>
      </c>
      <c r="K186">
        <f>J186*1.255082</f>
        <v>0</v>
      </c>
      <c r="L186">
        <f>C186+D186+E186+F186+G186+I186+K186</f>
        <v>68.388333333333335</v>
      </c>
    </row>
    <row r="187" spans="1:13" x14ac:dyDescent="0.3">
      <c r="A187">
        <v>230812</v>
      </c>
      <c r="B187" t="s">
        <v>144</v>
      </c>
      <c r="C187">
        <v>11.77</v>
      </c>
      <c r="D187">
        <v>23.6875</v>
      </c>
      <c r="E187">
        <v>14.208333333333334</v>
      </c>
      <c r="F187">
        <v>3</v>
      </c>
      <c r="G187">
        <v>0</v>
      </c>
      <c r="H187">
        <v>0</v>
      </c>
      <c r="I187">
        <f>H187*1.594388</f>
        <v>0</v>
      </c>
      <c r="J187">
        <v>12.5</v>
      </c>
      <c r="K187">
        <f>J187*1.255082</f>
        <v>15.688525</v>
      </c>
      <c r="L187">
        <f>C187+D187+E187+F187+G187+I187+K187</f>
        <v>68.354358333333337</v>
      </c>
    </row>
    <row r="188" spans="1:13" x14ac:dyDescent="0.3">
      <c r="A188" s="2">
        <v>210535</v>
      </c>
      <c r="B188" s="2" t="s">
        <v>6</v>
      </c>
      <c r="C188" s="2">
        <v>18.170000000000002</v>
      </c>
      <c r="D188" s="2">
        <v>22.25</v>
      </c>
      <c r="E188" s="2">
        <v>0</v>
      </c>
      <c r="F188" s="2">
        <v>4.5</v>
      </c>
      <c r="G188" s="2">
        <v>0</v>
      </c>
      <c r="H188" s="2">
        <v>0</v>
      </c>
      <c r="I188" s="2">
        <f>H188*1.594388</f>
        <v>0</v>
      </c>
      <c r="J188" s="2">
        <v>18.5</v>
      </c>
      <c r="K188" s="2">
        <f>J188*1.255082</f>
        <v>23.219017000000001</v>
      </c>
      <c r="L188" s="2">
        <f>C188+D188+E188+F188+G188+I188+K188</f>
        <v>68.139016999999996</v>
      </c>
      <c r="M188" s="2">
        <f>L188*1.33333333</f>
        <v>90.852022439536611</v>
      </c>
    </row>
    <row r="189" spans="1:13" x14ac:dyDescent="0.3">
      <c r="A189" s="2">
        <v>211005</v>
      </c>
      <c r="B189" s="2" t="s">
        <v>11</v>
      </c>
      <c r="C189" s="2">
        <v>18</v>
      </c>
      <c r="D189" s="2">
        <v>21.625</v>
      </c>
      <c r="E189" s="2">
        <v>0</v>
      </c>
      <c r="F189" s="2">
        <v>5</v>
      </c>
      <c r="G189" s="2">
        <v>0</v>
      </c>
      <c r="H189" s="2">
        <v>0</v>
      </c>
      <c r="I189" s="2">
        <f>H189*1.594388</f>
        <v>0</v>
      </c>
      <c r="J189" s="2">
        <v>18</v>
      </c>
      <c r="K189" s="2">
        <f>J189*1.255082</f>
        <v>22.591476</v>
      </c>
      <c r="L189" s="2">
        <f>C189+D189+E189+F189+G189+I189+K189</f>
        <v>67.216476</v>
      </c>
      <c r="M189" s="2">
        <f>L189*1.33333333</f>
        <v>89.62196777594508</v>
      </c>
    </row>
    <row r="190" spans="1:13" x14ac:dyDescent="0.3">
      <c r="A190">
        <v>230377</v>
      </c>
      <c r="B190" t="s">
        <v>71</v>
      </c>
      <c r="C190">
        <v>20</v>
      </c>
      <c r="D190">
        <v>23.5</v>
      </c>
      <c r="E190">
        <v>17.166666666666664</v>
      </c>
      <c r="F190">
        <v>2</v>
      </c>
      <c r="G190">
        <v>4.5</v>
      </c>
      <c r="H190">
        <v>0</v>
      </c>
      <c r="I190">
        <f>H190*1.594388</f>
        <v>0</v>
      </c>
      <c r="J190">
        <v>0</v>
      </c>
      <c r="K190">
        <f>J190*1.255082</f>
        <v>0</v>
      </c>
      <c r="L190">
        <f>C190+D190+E190+F190+G190+I190+K190</f>
        <v>67.166666666666657</v>
      </c>
    </row>
    <row r="191" spans="1:13" x14ac:dyDescent="0.3">
      <c r="A191">
        <v>230555</v>
      </c>
      <c r="B191" t="s">
        <v>103</v>
      </c>
      <c r="C191">
        <v>19.329999999999998</v>
      </c>
      <c r="D191">
        <v>23.875</v>
      </c>
      <c r="E191">
        <v>18.25</v>
      </c>
      <c r="F191">
        <v>0</v>
      </c>
      <c r="G191">
        <v>5.5</v>
      </c>
      <c r="H191">
        <v>0</v>
      </c>
      <c r="I191">
        <f>H191*1.594388</f>
        <v>0</v>
      </c>
      <c r="J191">
        <v>0</v>
      </c>
      <c r="K191">
        <f>J191*1.255082</f>
        <v>0</v>
      </c>
      <c r="L191">
        <f>C191+D191+E191+F191+G191+I191+K191</f>
        <v>66.954999999999998</v>
      </c>
    </row>
    <row r="192" spans="1:13" x14ac:dyDescent="0.3">
      <c r="A192">
        <v>231199</v>
      </c>
      <c r="B192" t="s">
        <v>207</v>
      </c>
      <c r="C192">
        <v>13.67</v>
      </c>
      <c r="D192">
        <v>13</v>
      </c>
      <c r="E192">
        <v>13.333333333333334</v>
      </c>
      <c r="F192">
        <v>1.5</v>
      </c>
      <c r="G192">
        <v>0</v>
      </c>
      <c r="H192">
        <v>17</v>
      </c>
      <c r="I192">
        <v>25</v>
      </c>
      <c r="J192">
        <v>0</v>
      </c>
      <c r="K192">
        <f>J192*1.255082</f>
        <v>0</v>
      </c>
      <c r="L192">
        <f>C192+D192+E192+F192+G192+I192+K192</f>
        <v>66.50333333333333</v>
      </c>
    </row>
    <row r="193" spans="1:13" x14ac:dyDescent="0.3">
      <c r="A193">
        <v>230870</v>
      </c>
      <c r="B193" t="s">
        <v>153</v>
      </c>
      <c r="C193">
        <v>20</v>
      </c>
      <c r="D193">
        <v>23.375</v>
      </c>
      <c r="E193">
        <v>20.625</v>
      </c>
      <c r="F193">
        <v>1.5</v>
      </c>
      <c r="G193">
        <v>0</v>
      </c>
      <c r="H193">
        <v>0</v>
      </c>
      <c r="I193">
        <f>H193*1.594388</f>
        <v>0</v>
      </c>
      <c r="J193">
        <v>0</v>
      </c>
      <c r="K193">
        <f>J193*1.255082</f>
        <v>0</v>
      </c>
      <c r="L193">
        <f>C193+D193+E193+F193+G193+I193+K193</f>
        <v>65.5</v>
      </c>
    </row>
    <row r="194" spans="1:13" x14ac:dyDescent="0.3">
      <c r="A194">
        <v>230303</v>
      </c>
      <c r="B194" t="s">
        <v>63</v>
      </c>
      <c r="C194">
        <v>20</v>
      </c>
      <c r="D194">
        <v>24.75</v>
      </c>
      <c r="E194">
        <v>12.25</v>
      </c>
      <c r="F194">
        <v>0</v>
      </c>
      <c r="G194">
        <v>8</v>
      </c>
      <c r="H194">
        <v>0</v>
      </c>
      <c r="I194">
        <f>H194*1.594388</f>
        <v>0</v>
      </c>
      <c r="J194">
        <v>0</v>
      </c>
      <c r="K194">
        <f>J194*1.255082</f>
        <v>0</v>
      </c>
      <c r="L194">
        <f>C194+D194+E194+F194+G194+I194+K194</f>
        <v>65</v>
      </c>
    </row>
    <row r="195" spans="1:13" x14ac:dyDescent="0.3">
      <c r="A195">
        <v>230161</v>
      </c>
      <c r="B195" t="s">
        <v>42</v>
      </c>
      <c r="C195">
        <v>12.47</v>
      </c>
      <c r="D195">
        <v>24.125</v>
      </c>
      <c r="E195">
        <v>17.75</v>
      </c>
      <c r="F195">
        <v>0</v>
      </c>
      <c r="G195">
        <v>0</v>
      </c>
      <c r="H195">
        <v>0</v>
      </c>
      <c r="I195">
        <f>H195*1.594388</f>
        <v>0</v>
      </c>
      <c r="J195">
        <v>8</v>
      </c>
      <c r="K195">
        <f>J195*1.255082</f>
        <v>10.040656</v>
      </c>
      <c r="L195">
        <f>C195+D195+E195+F195+G195+I195+K195</f>
        <v>64.385655999999997</v>
      </c>
    </row>
    <row r="196" spans="1:13" x14ac:dyDescent="0.3">
      <c r="A196">
        <v>211176</v>
      </c>
      <c r="B196" t="s">
        <v>15</v>
      </c>
      <c r="C196">
        <v>20</v>
      </c>
      <c r="D196">
        <v>20.75</v>
      </c>
      <c r="E196">
        <v>15.375</v>
      </c>
      <c r="F196">
        <v>0</v>
      </c>
      <c r="G196">
        <v>0</v>
      </c>
      <c r="H196">
        <v>0</v>
      </c>
      <c r="I196">
        <f>H196*1.594388</f>
        <v>0</v>
      </c>
      <c r="J196">
        <v>6</v>
      </c>
      <c r="K196">
        <f>J196*1.255082</f>
        <v>7.5304920000000006</v>
      </c>
      <c r="L196">
        <f>C196+D196+E196+F196+G196+I196+K196</f>
        <v>63.655492000000002</v>
      </c>
    </row>
    <row r="197" spans="1:13" x14ac:dyDescent="0.3">
      <c r="A197">
        <v>231073</v>
      </c>
      <c r="B197" t="s">
        <v>186</v>
      </c>
      <c r="C197">
        <v>20</v>
      </c>
      <c r="D197">
        <v>24.25</v>
      </c>
      <c r="E197">
        <v>17.875</v>
      </c>
      <c r="F197">
        <v>0</v>
      </c>
      <c r="G197">
        <v>0</v>
      </c>
      <c r="H197">
        <v>0</v>
      </c>
      <c r="I197">
        <f>H197*1.594388</f>
        <v>0</v>
      </c>
      <c r="J197">
        <v>0</v>
      </c>
      <c r="K197">
        <f>J197*1.255082</f>
        <v>0</v>
      </c>
      <c r="L197">
        <f>C197+D197+E197+F197+G197+I197+K197</f>
        <v>62.125</v>
      </c>
    </row>
    <row r="198" spans="1:13" x14ac:dyDescent="0.3">
      <c r="A198" s="2">
        <v>210775</v>
      </c>
      <c r="B198" s="2" t="s">
        <v>9</v>
      </c>
      <c r="C198" s="2">
        <v>20</v>
      </c>
      <c r="D198" s="2">
        <v>21.625</v>
      </c>
      <c r="E198" s="2">
        <v>0</v>
      </c>
      <c r="F198" s="2">
        <v>5</v>
      </c>
      <c r="G198" s="2">
        <v>0</v>
      </c>
      <c r="H198" s="2">
        <v>9</v>
      </c>
      <c r="I198" s="2">
        <f>H198*1.594388</f>
        <v>14.349492</v>
      </c>
      <c r="J198" s="2">
        <v>0</v>
      </c>
      <c r="K198" s="2">
        <f>J198*1.255082</f>
        <v>0</v>
      </c>
      <c r="L198" s="2">
        <f>C198+D198+E198+F198+G198+I198+K198</f>
        <v>60.974491999999998</v>
      </c>
      <c r="M198" s="2">
        <f>L198*1.33333333</f>
        <v>81.299322463418363</v>
      </c>
    </row>
    <row r="199" spans="1:13" x14ac:dyDescent="0.3">
      <c r="A199">
        <v>230113</v>
      </c>
      <c r="B199" t="s">
        <v>35</v>
      </c>
      <c r="C199">
        <v>20</v>
      </c>
      <c r="D199">
        <v>23.75</v>
      </c>
      <c r="E199">
        <v>17</v>
      </c>
      <c r="F199">
        <v>0</v>
      </c>
      <c r="G199">
        <v>0</v>
      </c>
      <c r="H199">
        <v>0</v>
      </c>
      <c r="I199">
        <f>H199*1.594388</f>
        <v>0</v>
      </c>
      <c r="J199">
        <v>0</v>
      </c>
      <c r="K199">
        <f>J199*1.255082</f>
        <v>0</v>
      </c>
      <c r="L199">
        <f>C199+D199+E199+F199+G199+I199+K199</f>
        <v>60.75</v>
      </c>
    </row>
    <row r="200" spans="1:13" x14ac:dyDescent="0.3">
      <c r="A200">
        <v>230983</v>
      </c>
      <c r="B200" t="s">
        <v>170</v>
      </c>
      <c r="C200">
        <v>10.83</v>
      </c>
      <c r="D200">
        <v>23.625</v>
      </c>
      <c r="E200">
        <v>16.166666666666664</v>
      </c>
      <c r="F200">
        <v>1.5</v>
      </c>
      <c r="G200">
        <v>0</v>
      </c>
      <c r="H200">
        <v>0</v>
      </c>
      <c r="I200">
        <f>H200*1.594388</f>
        <v>0</v>
      </c>
      <c r="J200">
        <v>5</v>
      </c>
      <c r="K200">
        <f>J200*1.255082</f>
        <v>6.2754099999999999</v>
      </c>
      <c r="L200">
        <f>C200+D200+E200+F200+G200+I200+K200</f>
        <v>58.397076666666663</v>
      </c>
    </row>
    <row r="201" spans="1:13" x14ac:dyDescent="0.3">
      <c r="A201" s="2">
        <v>210646</v>
      </c>
      <c r="B201" s="2" t="s">
        <v>7</v>
      </c>
      <c r="C201" s="2">
        <v>0</v>
      </c>
      <c r="D201" s="2">
        <v>24.5</v>
      </c>
      <c r="E201" s="2">
        <v>18.375</v>
      </c>
      <c r="F201" s="2">
        <v>0</v>
      </c>
      <c r="G201" s="2">
        <v>0</v>
      </c>
      <c r="H201" s="2">
        <v>9.5</v>
      </c>
      <c r="I201" s="2">
        <f>H201*1.594388</f>
        <v>15.146685999999999</v>
      </c>
      <c r="J201" s="2">
        <v>0</v>
      </c>
      <c r="K201" s="2">
        <f>J201*1.255082</f>
        <v>0</v>
      </c>
      <c r="L201" s="2">
        <f>C201+D201+E201+F201+G201+I201+K201</f>
        <v>58.021686000000003</v>
      </c>
      <c r="M201" s="2">
        <f>L201*1.33333333</f>
        <v>77.362247806594382</v>
      </c>
    </row>
    <row r="202" spans="1:13" x14ac:dyDescent="0.3">
      <c r="A202">
        <v>200320</v>
      </c>
      <c r="B202" t="s">
        <v>2</v>
      </c>
      <c r="C202">
        <v>17.2</v>
      </c>
      <c r="D202">
        <v>23.625</v>
      </c>
      <c r="E202">
        <v>15.333333333333334</v>
      </c>
      <c r="F202">
        <v>0</v>
      </c>
      <c r="G202">
        <v>0</v>
      </c>
      <c r="H202">
        <v>0</v>
      </c>
      <c r="I202">
        <f>H202*1.594388</f>
        <v>0</v>
      </c>
      <c r="J202">
        <v>0</v>
      </c>
      <c r="K202">
        <f>J202*1.255082</f>
        <v>0</v>
      </c>
      <c r="L202">
        <f>C202+D202+E202+F202+G202+I202+K202</f>
        <v>56.158333333333339</v>
      </c>
    </row>
    <row r="203" spans="1:13" x14ac:dyDescent="0.3">
      <c r="A203" s="2">
        <v>210358</v>
      </c>
      <c r="B203" s="2" t="s">
        <v>5</v>
      </c>
      <c r="C203" s="2">
        <v>17</v>
      </c>
      <c r="D203" s="2">
        <v>23.375</v>
      </c>
      <c r="E203" s="2">
        <v>0</v>
      </c>
      <c r="F203" s="2">
        <v>0</v>
      </c>
      <c r="G203" s="2">
        <v>0</v>
      </c>
      <c r="H203" s="2">
        <v>9.5</v>
      </c>
      <c r="I203" s="2">
        <f>H203*1.594388</f>
        <v>15.146685999999999</v>
      </c>
      <c r="J203" s="2">
        <v>0</v>
      </c>
      <c r="K203" s="2">
        <f>J203*1.255082</f>
        <v>0</v>
      </c>
      <c r="L203" s="2">
        <f>C203+D203+E203+F203+G203+I203+K203</f>
        <v>55.521686000000003</v>
      </c>
      <c r="M203" s="2">
        <f>L203*1.33333333</f>
        <v>74.028914481594384</v>
      </c>
    </row>
    <row r="204" spans="1:13" x14ac:dyDescent="0.3">
      <c r="A204">
        <v>230461</v>
      </c>
      <c r="B204" t="s">
        <v>82</v>
      </c>
      <c r="C204">
        <v>16.170000000000002</v>
      </c>
      <c r="D204">
        <v>23</v>
      </c>
      <c r="E204">
        <v>10.666666666666666</v>
      </c>
      <c r="F204">
        <v>0</v>
      </c>
      <c r="G204">
        <v>0</v>
      </c>
      <c r="H204">
        <v>2</v>
      </c>
      <c r="I204">
        <f>H204*1.594388</f>
        <v>3.1887759999999998</v>
      </c>
      <c r="J204">
        <v>0</v>
      </c>
      <c r="K204">
        <f>J204*1.255082</f>
        <v>0</v>
      </c>
      <c r="L204">
        <f>C204+D204+E204+F204+G204+I204+K204</f>
        <v>53.025442666666663</v>
      </c>
    </row>
    <row r="205" spans="1:13" x14ac:dyDescent="0.3">
      <c r="A205">
        <v>230118</v>
      </c>
      <c r="B205" t="s">
        <v>37</v>
      </c>
      <c r="C205">
        <v>14.87</v>
      </c>
      <c r="D205">
        <v>24.125</v>
      </c>
      <c r="E205">
        <v>6</v>
      </c>
      <c r="F205">
        <v>0</v>
      </c>
      <c r="G205">
        <v>0</v>
      </c>
      <c r="H205">
        <v>4</v>
      </c>
      <c r="I205">
        <f>H205*1.594388</f>
        <v>6.3775519999999997</v>
      </c>
      <c r="J205">
        <v>0</v>
      </c>
      <c r="K205">
        <f>J205*1.255082</f>
        <v>0</v>
      </c>
      <c r="L205">
        <f>C205+D205+E205+F205+G205+I205+K205</f>
        <v>51.372551999999999</v>
      </c>
    </row>
    <row r="206" spans="1:13" x14ac:dyDescent="0.3">
      <c r="A206">
        <v>211138</v>
      </c>
      <c r="B206" t="s">
        <v>12</v>
      </c>
      <c r="C206">
        <v>12.17</v>
      </c>
      <c r="D206">
        <v>19.5</v>
      </c>
      <c r="E206">
        <v>9.4166666666666661</v>
      </c>
      <c r="F206">
        <v>0</v>
      </c>
      <c r="G206">
        <v>0</v>
      </c>
      <c r="H206">
        <v>0</v>
      </c>
      <c r="I206">
        <f>H206*1.594388</f>
        <v>0</v>
      </c>
      <c r="J206">
        <v>7.5</v>
      </c>
      <c r="K206">
        <f>J206*1.255082</f>
        <v>9.4131149999999995</v>
      </c>
      <c r="L206">
        <f>C206+D206+E206+F206+G206+I206+K206</f>
        <v>50.499781666666664</v>
      </c>
    </row>
    <row r="207" spans="1:13" x14ac:dyDescent="0.3">
      <c r="A207">
        <v>230805</v>
      </c>
      <c r="B207" t="s">
        <v>143</v>
      </c>
      <c r="C207">
        <v>17.45</v>
      </c>
      <c r="D207">
        <v>14.25</v>
      </c>
      <c r="E207">
        <v>14</v>
      </c>
      <c r="F207">
        <v>0.5</v>
      </c>
      <c r="G207">
        <v>0</v>
      </c>
      <c r="H207">
        <v>2</v>
      </c>
      <c r="I207">
        <f>H207*1.594388</f>
        <v>3.1887759999999998</v>
      </c>
      <c r="J207">
        <v>0</v>
      </c>
      <c r="K207">
        <f>J207*1.255082</f>
        <v>0</v>
      </c>
      <c r="L207">
        <f>C207+D207+E207+F207+G207+I207+K207</f>
        <v>49.388776</v>
      </c>
    </row>
    <row r="208" spans="1:13" x14ac:dyDescent="0.3">
      <c r="A208">
        <v>230710</v>
      </c>
      <c r="B208" t="s">
        <v>128</v>
      </c>
      <c r="C208">
        <v>2.93</v>
      </c>
      <c r="D208">
        <v>4.5</v>
      </c>
      <c r="E208">
        <v>0</v>
      </c>
      <c r="F208">
        <v>0</v>
      </c>
      <c r="G208">
        <v>0</v>
      </c>
      <c r="H208">
        <v>0</v>
      </c>
      <c r="I208">
        <f>H208*1.594388</f>
        <v>0</v>
      </c>
      <c r="J208">
        <v>0</v>
      </c>
      <c r="K208">
        <f>J208*1.255082</f>
        <v>0</v>
      </c>
      <c r="L208">
        <f>C208+D208+E208+F208+G208+I208+K208</f>
        <v>7.43</v>
      </c>
    </row>
  </sheetData>
  <sortState xmlns:xlrd2="http://schemas.microsoft.com/office/spreadsheetml/2017/richdata2" ref="A2:M209">
    <sortCondition descending="1" ref="L1:L2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EC_lab_marks_final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sahay</dc:creator>
  <cp:lastModifiedBy>Ronit Kumar</cp:lastModifiedBy>
  <dcterms:created xsi:type="dcterms:W3CDTF">2025-11-28T14:18:54Z</dcterms:created>
  <dcterms:modified xsi:type="dcterms:W3CDTF">2025-11-28T16:50:51Z</dcterms:modified>
</cp:coreProperties>
</file>